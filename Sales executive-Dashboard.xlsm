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F:\"/>
    </mc:Choice>
  </mc:AlternateContent>
  <xr:revisionPtr revIDLastSave="0" documentId="13_ncr:1_{CAC31590-2CA7-4997-9F8F-89150335942B}" xr6:coauthVersionLast="47" xr6:coauthVersionMax="47" xr10:uidLastSave="{00000000-0000-0000-0000-000000000000}"/>
  <bookViews>
    <workbookView xWindow="-108" yWindow="-108" windowWidth="23256" windowHeight="12576" activeTab="1" xr2:uid="{D5D70916-EAE4-43AC-BC1B-F75BD4C5EE0B}"/>
  </bookViews>
  <sheets>
    <sheet name="Sheet2" sheetId="2" r:id="rId1"/>
    <sheet name="Sheet1"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8" i="1" l="1"/>
  <c r="L39" i="1"/>
  <c r="L40" i="1"/>
  <c r="L41" i="1"/>
  <c r="K38" i="1"/>
  <c r="K39" i="1"/>
  <c r="K40" i="1"/>
  <c r="K41" i="1"/>
  <c r="I41" i="1"/>
  <c r="I40" i="1"/>
  <c r="I39" i="1"/>
  <c r="I38" i="1"/>
  <c r="L23" i="1"/>
  <c r="L24" i="1"/>
  <c r="L25" i="1"/>
  <c r="L26" i="1"/>
  <c r="L27" i="1"/>
  <c r="L28" i="1"/>
  <c r="L29" i="1"/>
  <c r="L30" i="1"/>
  <c r="L31" i="1"/>
  <c r="L32" i="1"/>
  <c r="L33" i="1"/>
  <c r="L34" i="1"/>
  <c r="L35" i="1"/>
  <c r="L36" i="1"/>
  <c r="L37" i="1"/>
  <c r="K24" i="1"/>
  <c r="K25" i="1"/>
  <c r="K26" i="1"/>
  <c r="K27" i="1"/>
  <c r="K28" i="1"/>
  <c r="K29" i="1"/>
  <c r="K30" i="1"/>
  <c r="K31" i="1"/>
  <c r="K32" i="1"/>
  <c r="K33" i="1"/>
  <c r="K34" i="1"/>
  <c r="K35" i="1"/>
  <c r="K36" i="1"/>
  <c r="K37" i="1"/>
  <c r="K23" i="1"/>
  <c r="I37" i="1"/>
  <c r="I36" i="1"/>
  <c r="I35" i="1"/>
  <c r="I34" i="1"/>
  <c r="I33" i="1"/>
  <c r="I32" i="1"/>
  <c r="I31" i="1"/>
  <c r="I30" i="1"/>
  <c r="I29" i="1"/>
  <c r="I28" i="1"/>
  <c r="I27" i="1"/>
  <c r="I26" i="1"/>
  <c r="I25" i="1"/>
  <c r="I24" i="1"/>
  <c r="I23" i="1"/>
  <c r="L8" i="1"/>
  <c r="L9" i="1"/>
  <c r="L10" i="1"/>
  <c r="L11" i="1"/>
  <c r="L12" i="1"/>
  <c r="L13" i="1"/>
  <c r="L14" i="1"/>
  <c r="L15" i="1"/>
  <c r="L16" i="1"/>
  <c r="L17" i="1"/>
  <c r="L18" i="1"/>
  <c r="L19" i="1"/>
  <c r="L20" i="1"/>
  <c r="L21" i="1"/>
  <c r="L22" i="1"/>
  <c r="L7" i="1"/>
  <c r="I3" i="1"/>
  <c r="I4" i="1"/>
  <c r="I5" i="1"/>
  <c r="I6" i="1"/>
  <c r="I7" i="1"/>
  <c r="I8" i="1"/>
  <c r="I9" i="1"/>
  <c r="I10" i="1"/>
  <c r="I11" i="1"/>
  <c r="I12" i="1"/>
  <c r="I13" i="1"/>
  <c r="I14" i="1"/>
  <c r="I15" i="1"/>
  <c r="I16" i="1"/>
  <c r="I17" i="1"/>
  <c r="I18" i="1"/>
  <c r="I19" i="1"/>
  <c r="I20" i="1"/>
  <c r="I21" i="1"/>
  <c r="I22" i="1"/>
  <c r="I2" i="1"/>
</calcChain>
</file>

<file path=xl/sharedStrings.xml><?xml version="1.0" encoding="utf-8"?>
<sst xmlns="http://schemas.openxmlformats.org/spreadsheetml/2006/main" count="160" uniqueCount="103">
  <si>
    <t>Emp Code</t>
  </si>
  <si>
    <t>Mum-TCL001</t>
  </si>
  <si>
    <t>Mum-TCL002</t>
  </si>
  <si>
    <t>Mum-TCL003</t>
  </si>
  <si>
    <t>Mum-TCL004</t>
  </si>
  <si>
    <t>Mum-TCL005</t>
  </si>
  <si>
    <t>Mum-TCL006</t>
  </si>
  <si>
    <t>Mum-TCL007</t>
  </si>
  <si>
    <t>Mum-TCL008</t>
  </si>
  <si>
    <t>Mum-TCL009</t>
  </si>
  <si>
    <t>Mum-TCL010</t>
  </si>
  <si>
    <t>Mum-TCL011</t>
  </si>
  <si>
    <t>Mum-TCL012</t>
  </si>
  <si>
    <t>Mum-TCL013</t>
  </si>
  <si>
    <t>Mum-TCL014</t>
  </si>
  <si>
    <t>Mum-TCL015</t>
  </si>
  <si>
    <t>Mum-TCL016</t>
  </si>
  <si>
    <t>Mum-TCL017</t>
  </si>
  <si>
    <t>Mum-TCL018</t>
  </si>
  <si>
    <t>Mum-TCL019</t>
  </si>
  <si>
    <t>Mum-TCL020</t>
  </si>
  <si>
    <t>Mum-TCL021</t>
  </si>
  <si>
    <t>Mum-TCL022</t>
  </si>
  <si>
    <t>Mum-TCL023</t>
  </si>
  <si>
    <t>Mum-TCL024</t>
  </si>
  <si>
    <t>Mum-TCL025</t>
  </si>
  <si>
    <t>Mum-TCL026</t>
  </si>
  <si>
    <t>Mum-TCL027</t>
  </si>
  <si>
    <t>Mum-TCL028</t>
  </si>
  <si>
    <t>Mum-TCL029</t>
  </si>
  <si>
    <t>Mum-TCL030</t>
  </si>
  <si>
    <t>Mum-TCL031</t>
  </si>
  <si>
    <t>Mum-TCL032</t>
  </si>
  <si>
    <t>Mum-TCL033</t>
  </si>
  <si>
    <t>Mum-TCL034</t>
  </si>
  <si>
    <t>Mum-TCL035</t>
  </si>
  <si>
    <t>Mum-TCL036</t>
  </si>
  <si>
    <t>Mum-TCL037</t>
  </si>
  <si>
    <t>Mum-TCL038</t>
  </si>
  <si>
    <t>Mum-TCL039</t>
  </si>
  <si>
    <t>Mum-TCL040</t>
  </si>
  <si>
    <t>Sales Executive</t>
  </si>
  <si>
    <t>Raj Verma</t>
  </si>
  <si>
    <t>Tanuja Kale</t>
  </si>
  <si>
    <t>Arvind Sharma</t>
  </si>
  <si>
    <t>Tahira Qureshi</t>
  </si>
  <si>
    <t>Anuj Sharma</t>
  </si>
  <si>
    <t>Syed Sohail</t>
  </si>
  <si>
    <t>Syed Saqid</t>
  </si>
  <si>
    <t>Syed Naved</t>
  </si>
  <si>
    <t>Swarnlata Borse</t>
  </si>
  <si>
    <t>Sushma Khandelwal</t>
  </si>
  <si>
    <t>Surendranath Thakur</t>
  </si>
  <si>
    <t>Surendra Kumar</t>
  </si>
  <si>
    <t>Sunita Madnani</t>
  </si>
  <si>
    <t>Sunita Chawla</t>
  </si>
  <si>
    <t>Sunil Kumar</t>
  </si>
  <si>
    <t>Sudhir Kumar</t>
  </si>
  <si>
    <t>Sudama Kumar</t>
  </si>
  <si>
    <t>Sonaram Munda</t>
  </si>
  <si>
    <t>Sneh Khan</t>
  </si>
  <si>
    <t>Shyamal Malakar</t>
  </si>
  <si>
    <t>Shubhanjali Joshi</t>
  </si>
  <si>
    <t>Region</t>
  </si>
  <si>
    <t>Mumbai</t>
  </si>
  <si>
    <t>Dehli</t>
  </si>
  <si>
    <t>Nagpur</t>
  </si>
  <si>
    <t>Chennai</t>
  </si>
  <si>
    <t>Pune</t>
  </si>
  <si>
    <t>Patna</t>
  </si>
  <si>
    <t>Ranchi</t>
  </si>
  <si>
    <t>Surat</t>
  </si>
  <si>
    <t>Day2</t>
  </si>
  <si>
    <t>Day1</t>
  </si>
  <si>
    <t>Day3</t>
  </si>
  <si>
    <t>Day4</t>
  </si>
  <si>
    <t>Day5</t>
  </si>
  <si>
    <t>Total Sales</t>
  </si>
  <si>
    <t>Target</t>
  </si>
  <si>
    <t>Target Hit%</t>
  </si>
  <si>
    <t>Away From Target %</t>
  </si>
  <si>
    <t>Shivji Prasad</t>
  </si>
  <si>
    <t>Shephali Jain</t>
  </si>
  <si>
    <t>Sheena Joseph</t>
  </si>
  <si>
    <t>Sheeba Joseph</t>
  </si>
  <si>
    <t>Shashikant Tiwari</t>
  </si>
  <si>
    <t>Shankar Attendant</t>
  </si>
  <si>
    <t>Shailendra Barge</t>
  </si>
  <si>
    <t>Shailaja Kamal</t>
  </si>
  <si>
    <t>Saroj Parita</t>
  </si>
  <si>
    <t>Sapna Sharma</t>
  </si>
  <si>
    <t>Santosh Kumar</t>
  </si>
  <si>
    <t>Sanju Ramdas</t>
  </si>
  <si>
    <t>Sanjiv Subherwal</t>
  </si>
  <si>
    <t>Sanjay Hire</t>
  </si>
  <si>
    <t>Salim</t>
  </si>
  <si>
    <t>Kamini Kumar</t>
  </si>
  <si>
    <t>Kalpana Agrawal</t>
  </si>
  <si>
    <t>Indra Pal</t>
  </si>
  <si>
    <t>Dinesh Kumar</t>
  </si>
  <si>
    <t xml:space="preserve">Total Sales </t>
  </si>
  <si>
    <t xml:space="preserve">Target Hit%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</si>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</sst>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8"/>
      <name val="Calibri"/>
      <family val="2"/>
      <scheme val="minor"/>
    </font>
    <font>
      <sz val="11"/>
      <color theme="1"/>
      <name val="Calibri"/>
      <family val="2"/>
      <scheme val="minor"/>
    </font>
    <font>
      <sz val="8"/>
      <color rgb="FF000000"/>
      <name val="Segoe UI"/>
      <family val="2"/>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2">
    <xf numFmtId="0" fontId="0" fillId="0" borderId="0"/>
    <xf numFmtId="9" fontId="2" fillId="0" borderId="0" applyFont="0" applyFill="0" applyBorder="0" applyAlignment="0" applyProtection="0"/>
  </cellStyleXfs>
  <cellXfs count="7">
    <xf numFmtId="0" fontId="0" fillId="0" borderId="0" xfId="0"/>
    <xf numFmtId="10" fontId="0" fillId="0" borderId="0" xfId="0" applyNumberFormat="1"/>
    <xf numFmtId="10" fontId="0" fillId="0" borderId="0" xfId="1" applyNumberFormat="1" applyFont="1"/>
    <xf numFmtId="0" fontId="0" fillId="0" borderId="0" xfId="0" pivotButton="1"/>
    <xf numFmtId="0" fontId="0" fillId="0" borderId="0" xfId="0" applyAlignment="1">
      <alignment horizontal="left"/>
    </xf>
    <xf numFmtId="0" fontId="0" fillId="2" borderId="0" xfId="0" applyFill="1"/>
    <xf numFmtId="0" fontId="0" fillId="0" borderId="0" xfId="0" applyNumberFormat="1"/>
  </cellXfs>
  <cellStyles count="2">
    <cellStyle name="Normal" xfId="0" builtinId="0"/>
    <cellStyle name="Percent" xfId="1" builtinId="5"/>
  </cellStyles>
  <dxfs count="2">
    <dxf>
      <fill>
        <patternFill>
          <bgColor theme="2"/>
        </patternFill>
      </fill>
    </dxf>
    <dxf>
      <fill>
        <patternFill>
          <bgColor theme="1" tint="0.499984740745262"/>
        </patternFill>
      </fill>
    </dxf>
  </dxfs>
  <tableStyles count="3" defaultTableStyle="TableStyleMedium2" defaultPivotStyle="PivotStyleLight16">
    <tableStyle name="Slicer Style 1" pivot="0" table="0" count="1" xr9:uid="{EEB8A5AB-9739-40D3-9F94-1D54D5BCD100}">
      <tableStyleElement type="wholeTable" dxfId="1"/>
    </tableStyle>
    <tableStyle name="Slicer Style 2" pivot="0" table="0" count="7" xr9:uid="{03A1AF27-1730-404C-9863-FB307F7F3366}">
      <tableStyleElement type="wholeTable" dxfId="0"/>
    </tableStyle>
    <tableStyle name="Slicer Style 3" pivot="0" table="0" count="1" xr9:uid="{2A5FAA94-547D-4AE9-B0DA-D6182B1BC179}"/>
  </tableStyles>
  <extLst>
    <ext xmlns:x14="http://schemas.microsoft.com/office/spreadsheetml/2009/9/main" uri="{46F421CA-312F-682f-3DD2-61675219B42D}">
      <x14:dxfs count="7">
        <dxf>
          <fill>
            <patternFill>
              <bgColor theme="4" tint="0.59996337778862885"/>
            </patternFill>
          </fill>
        </dxf>
        <dxf>
          <fill>
            <patternFill>
              <bgColor theme="9" tint="0.39994506668294322"/>
            </patternFill>
          </fill>
        </dxf>
        <dxf>
          <fill>
            <patternFill>
              <bgColor theme="5" tint="0.59996337778862885"/>
            </patternFill>
          </fill>
        </dxf>
        <dxf>
          <fill>
            <patternFill>
              <bgColor theme="9" tint="0.39994506668294322"/>
            </patternFill>
          </fill>
        </dxf>
        <dxf>
          <fill>
            <patternFill>
              <bgColor theme="5" tint="0.79998168889431442"/>
            </patternFill>
          </fill>
        </dxf>
        <dxf>
          <fill>
            <patternFill>
              <bgColor theme="4" tint="0.59996337778862885"/>
            </patternFill>
          </fill>
        </dxf>
        <dxf>
          <fill>
            <patternFill>
              <bgColor theme="7" tint="0.39994506668294322"/>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6"/>
            <x14:slicerStyleElement type="selectedItemWithData" dxfId="5"/>
            <x14:slicerStyleElement type="selectedItemWithNoData" dxfId="4"/>
            <x14:slicerStyleElement type="hoveredUnselectedItemWithData" dxfId="3"/>
            <x14:slicerStyleElement type="hoveredSelectedItemWithData" dxfId="2"/>
            <x14:slicerStyleElement type="hoveredSelectedItemWithNoData" dxfId="1"/>
          </x14:slicerStyleElements>
        </x14:slicerStyle>
        <x14:slicerStyle name="Slicer Style 3">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[DASHBOARD-Practice.xlsm]Sheet2!PivotTable1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830959780319541"/>
          <c:y val="7.4712714371207203E-2"/>
          <c:w val="0.62310053441898239"/>
          <c:h val="0.85057457125758562"/>
        </c:manualLayout>
      </c:layout>
      <c:barChart>
        <c:barDir val="bar"/>
        <c:grouping val="clustered"/>
        <c:varyColors val="0"/>
        <c:ser>
          <c:idx val="0"/>
          <c:order val="0"/>
          <c:tx>
            <c:strRef>
              <c:f>Sheet2!$B$3</c:f>
              <c:strCache>
                <c:ptCount val="1"/>
                <c:pt idx="0">
                  <c:v>Total</c:v>
                </c:pt>
              </c:strCache>
            </c:strRef>
          </c:tx>
          <c:spPr>
            <a:solidFill>
              <a:schemeClr val="accent1"/>
            </a:solidFill>
            <a:ln>
              <a:noFill/>
            </a:ln>
            <a:effectLst/>
          </c:spPr>
          <c:invertIfNegative val="0"/>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Sheet2!$A$4:$A$8</c:f>
              <c:strCache>
                <c:ptCount val="5"/>
                <c:pt idx="0">
                  <c:v>Arvind Sharma</c:v>
                </c:pt>
                <c:pt idx="1">
                  <c:v>Sanju Ramdas</c:v>
                </c:pt>
                <c:pt idx="2">
                  <c:v>Shailaja Kamal</c:v>
                </c:pt>
                <c:pt idx="3">
                  <c:v>Sheeba Joseph</c:v>
                </c:pt>
                <c:pt idx="4">
                  <c:v>Surendra Kumar</c:v>
                </c:pt>
              </c:strCache>
            </c:strRef>
          </c:cat>
          <c:val>
            <c:numRef>
              <c:f>Sheet2!$B$4:$B$8</c:f>
              <c:numCache>
                <c:formatCode>General</c:formatCode>
                <c:ptCount val="5"/>
                <c:pt idx="0">
                  <c:v>379</c:v>
                </c:pt>
                <c:pt idx="1">
                  <c:v>384</c:v>
                </c:pt>
                <c:pt idx="2">
                  <c:v>422</c:v>
                </c:pt>
                <c:pt idx="3">
                  <c:v>388</c:v>
                </c:pt>
                <c:pt idx="4">
                  <c:v>376</c:v>
                </c:pt>
              </c:numCache>
            </c:numRef>
          </c:val>
          <c:extLst>
            <c:ext xmlns:c16="http://schemas.microsoft.com/office/drawing/2014/chart" uri="{C3380CC4-5D6E-409C-BE32-E72D297353CC}">
              <c16:uniqueId val="{00000000-2175-4D6C-AA22-82F46E0E9C47}"/>
            </c:ext>
          </c:extLst>
        </c:ser>
        <c:dLbls>
          <c:showLegendKey val="0"/>
          <c:showVal val="0"/>
          <c:showCatName val="0"/>
          <c:showSerName val="0"/>
          <c:showPercent val="0"/>
          <c:showBubbleSize val="0"/>
        </c:dLbls>
        <c:gapWidth val="219"/>
        <c:axId val="1201952032"/>
        <c:axId val="1201950592"/>
      </c:barChart>
      <c:catAx>
        <c:axId val="12019520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950592"/>
        <c:crosses val="autoZero"/>
        <c:auto val="1"/>
        <c:lblAlgn val="ctr"/>
        <c:lblOffset val="100"/>
        <c:noMultiLvlLbl val="0"/>
      </c:catAx>
      <c:valAx>
        <c:axId val="1201950592"/>
        <c:scaling>
          <c:orientation val="minMax"/>
        </c:scaling>
        <c:delete val="1"/>
        <c:axPos val="b"/>
        <c:numFmt formatCode="General" sourceLinked="1"/>
        <c:majorTickMark val="none"/>
        <c:minorTickMark val="none"/>
        <c:tickLblPos val="nextTo"/>
        <c:crossAx val="12019520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[DASHBOARD-Practice.xlsm]Sheet2!PivotTable4</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Sheet2!$H$3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F51-4869-97D2-39EFBD78EE2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F51-4869-97D2-39EFBD78EE2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F51-4869-97D2-39EFBD78EE2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F51-4869-97D2-39EFBD78EE28}"/>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A815-4FF5-AF75-979B4F28E05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Sheet2!$G$4:$G$8</c:f>
              <c:strCache>
                <c:ptCount val="5"/>
                <c:pt idx="0">
                  <c:v>Kamini Kumar</c:v>
                </c:pt>
                <c:pt idx="1">
                  <c:v>Saroj Parita</c:v>
                </c:pt>
                <c:pt idx="2">
                  <c:v>Shivji Prasad</c:v>
                </c:pt>
                <c:pt idx="3">
                  <c:v>Sunita Chawla</c:v>
                </c:pt>
                <c:pt idx="4">
                  <c:v>Syed Sohail</c:v>
                </c:pt>
              </c:strCache>
            </c:strRef>
          </c:cat>
          <c:val>
            <c:numRef>
              <c:f>Sheet2!$H$4:$H$8</c:f>
              <c:numCache>
                <c:formatCode>0.00%</c:formatCode>
                <c:ptCount val="5"/>
                <c:pt idx="0">
                  <c:v>0.624</c:v>
                </c:pt>
                <c:pt idx="1">
                  <c:v>0.42199999999999999</c:v>
                </c:pt>
                <c:pt idx="2">
                  <c:v>0.52200000000000002</c:v>
                </c:pt>
                <c:pt idx="3">
                  <c:v>0.57599999999999996</c:v>
                </c:pt>
                <c:pt idx="4">
                  <c:v>0.53</c:v>
                </c:pt>
              </c:numCache>
            </c:numRef>
          </c:val>
          <c:extLst>
            <c:ext xmlns:c16="http://schemas.microsoft.com/office/drawing/2014/chart" uri="{C3380CC4-5D6E-409C-BE32-E72D297353CC}">
              <c16:uniqueId val="{00000000-0643-489E-BAF7-353C17781274}"/>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[DASHBOARD-Practice.xlsm]Sheet2!PivotTable5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layout>
            <c:manualLayout>
              <c:x val="-8.1230580283965949E-17"/>
              <c:y val="-4.7693926240189616E-2"/>
            </c:manualLayout>
          </c:layout>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layout>
            <c:manualLayout>
              <c:x val="-8.8616202181702984E-3"/>
              <c:y val="6.1320762308815224E-2"/>
            </c:manualLayout>
          </c:layout>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layout>
            <c:manualLayout>
              <c:x val="-2.2154050545425786E-2"/>
              <c:y val="-6.1320762308815252E-2"/>
            </c:manualLayout>
          </c:layout>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layout>
            <c:manualLayout>
              <c:x val="-5.3169721309021874E-2"/>
              <c:y val="5.4507344274502448E-2"/>
            </c:manualLayout>
          </c:layout>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layout>
            <c:manualLayout>
              <c:x val="0"/>
              <c:y val="-5.4507344274502434E-2"/>
            </c:manualLayout>
          </c:layout>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776159230096238"/>
          <c:y val="7.407407407407407E-2"/>
          <c:w val="0.85334951881014875"/>
          <c:h val="0.8416746864975212"/>
        </c:manualLayout>
      </c:layout>
      <c:lineChart>
        <c:grouping val="standard"/>
        <c:varyColors val="0"/>
        <c:ser>
          <c:idx val="0"/>
          <c:order val="0"/>
          <c:tx>
            <c:strRef>
              <c:f>Sheet2!$K$3</c:f>
              <c:strCache>
                <c:ptCount val="1"/>
                <c:pt idx="0">
                  <c:v>Total</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0-6F84-4793-BEAD-B6DCA61C1F04}"/>
              </c:ext>
            </c:extLst>
          </c:dPt>
          <c:dPt>
            <c:idx val="1"/>
            <c:marker>
              <c:symbol val="none"/>
            </c:marker>
            <c:bubble3D val="0"/>
            <c:extLst>
              <c:ext xmlns:c16="http://schemas.microsoft.com/office/drawing/2014/chart" uri="{C3380CC4-5D6E-409C-BE32-E72D297353CC}">
                <c16:uniqueId val="{00000001-6F84-4793-BEAD-B6DCA61C1F04}"/>
              </c:ext>
            </c:extLst>
          </c:dPt>
          <c:dPt>
            <c:idx val="2"/>
            <c:marker>
              <c:symbol val="none"/>
            </c:marker>
            <c:bubble3D val="0"/>
            <c:extLst>
              <c:ext xmlns:c16="http://schemas.microsoft.com/office/drawing/2014/chart" uri="{C3380CC4-5D6E-409C-BE32-E72D297353CC}">
                <c16:uniqueId val="{00000002-6F84-4793-BEAD-B6DCA61C1F04}"/>
              </c:ext>
            </c:extLst>
          </c:dPt>
          <c:dPt>
            <c:idx val="3"/>
            <c:marker>
              <c:symbol val="none"/>
            </c:marker>
            <c:bubble3D val="0"/>
            <c:extLst>
              <c:ext xmlns:c16="http://schemas.microsoft.com/office/drawing/2014/chart" uri="{C3380CC4-5D6E-409C-BE32-E72D297353CC}">
                <c16:uniqueId val="{00000003-6F84-4793-BEAD-B6DCA61C1F04}"/>
              </c:ext>
            </c:extLst>
          </c:dPt>
          <c:dPt>
            <c:idx val="4"/>
            <c:marker>
              <c:symbol val="none"/>
            </c:marker>
            <c:bubble3D val="0"/>
            <c:extLst>
              <c:ext xmlns:c16="http://schemas.microsoft.com/office/drawing/2014/chart" uri="{C3380CC4-5D6E-409C-BE32-E72D297353CC}">
                <c16:uniqueId val="{00000004-6F84-4793-BEAD-B6DCA61C1F04}"/>
              </c:ext>
            </c:extLst>
          </c:dPt>
          <c:dLbls>
            <c:dLbl>
              <c:idx val="0"/>
              <c:layout>
                <c:manualLayout>
                  <c:x val="-2.2154050545425786E-2"/>
                  <c:y val="-6.13207623088152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F84-4793-BEAD-B6DCA61C1F04}"/>
                </c:ext>
              </c:extLst>
            </c:dLbl>
            <c:dLbl>
              <c:idx val="1"/>
              <c:layout>
                <c:manualLayout>
                  <c:x val="-8.8616202181702984E-3"/>
                  <c:y val="6.132076230881522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F84-4793-BEAD-B6DCA61C1F04}"/>
                </c:ext>
              </c:extLst>
            </c:dLbl>
            <c:dLbl>
              <c:idx val="2"/>
              <c:layout>
                <c:manualLayout>
                  <c:x val="-8.1230580283965949E-17"/>
                  <c:y val="-4.76939262401896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F84-4793-BEAD-B6DCA61C1F04}"/>
                </c:ext>
              </c:extLst>
            </c:dLbl>
            <c:dLbl>
              <c:idx val="3"/>
              <c:layout>
                <c:manualLayout>
                  <c:x val="-5.3169721309021874E-2"/>
                  <c:y val="5.45073442745024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F84-4793-BEAD-B6DCA61C1F04}"/>
                </c:ext>
              </c:extLst>
            </c:dLbl>
            <c:dLbl>
              <c:idx val="4"/>
              <c:layout>
                <c:manualLayout>
                  <c:x val="0"/>
                  <c:y val="-5.450734427450243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F84-4793-BEAD-B6DCA61C1F04}"/>
                </c:ext>
              </c:extLst>
            </c:dLbl>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Sheet2!$J$4:$J$8</c:f>
              <c:strCache>
                <c:ptCount val="5"/>
                <c:pt idx="0">
                  <c:v>Sapna Sharma</c:v>
                </c:pt>
                <c:pt idx="1">
                  <c:v>Saroj Parita</c:v>
                </c:pt>
                <c:pt idx="2">
                  <c:v>Sheena Joseph</c:v>
                </c:pt>
                <c:pt idx="3">
                  <c:v>Sudhir Kumar</c:v>
                </c:pt>
                <c:pt idx="4">
                  <c:v>Swarnlata Borse</c:v>
                </c:pt>
              </c:strCache>
            </c:strRef>
          </c:cat>
          <c:val>
            <c:numRef>
              <c:f>Sheet2!$K$4:$K$8</c:f>
              <c:numCache>
                <c:formatCode>0.00%</c:formatCode>
                <c:ptCount val="5"/>
                <c:pt idx="0">
                  <c:v>0.58200000000000007</c:v>
                </c:pt>
                <c:pt idx="1">
                  <c:v>0.57800000000000007</c:v>
                </c:pt>
                <c:pt idx="2">
                  <c:v>0.72799999999999998</c:v>
                </c:pt>
                <c:pt idx="3">
                  <c:v>0.60199999999999998</c:v>
                </c:pt>
                <c:pt idx="4">
                  <c:v>0.622</c:v>
                </c:pt>
              </c:numCache>
            </c:numRef>
          </c:val>
          <c:smooth val="0"/>
          <c:extLst>
            <c:ext xmlns:c16="http://schemas.microsoft.com/office/drawing/2014/chart" uri="{C3380CC4-5D6E-409C-BE32-E72D297353CC}">
              <c16:uniqueId val="{00000002-1A21-477C-8DE2-4830A746C785}"/>
            </c:ext>
          </c:extLst>
        </c:ser>
        <c:dLbls>
          <c:showLegendKey val="0"/>
          <c:showVal val="0"/>
          <c:showCatName val="0"/>
          <c:showSerName val="0"/>
          <c:showPercent val="0"/>
          <c:showBubbleSize val="0"/>
        </c:dLbls>
        <c:smooth val="0"/>
        <c:axId val="1662837216"/>
        <c:axId val="1662826656"/>
      </c:lineChart>
      <c:catAx>
        <c:axId val="1662837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2826656"/>
        <c:crosses val="autoZero"/>
        <c:auto val="1"/>
        <c:lblAlgn val="ctr"/>
        <c:lblOffset val="100"/>
        <c:noMultiLvlLbl val="0"/>
      </c:catAx>
      <c:valAx>
        <c:axId val="1662826656"/>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28372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61546</xdr:colOff>
      <xdr:row>9</xdr:row>
      <xdr:rowOff>1</xdr:rowOff>
    </xdr:from>
    <xdr:to>
      <xdr:col>4</xdr:col>
      <xdr:colOff>175846</xdr:colOff>
      <xdr:row>19</xdr:row>
      <xdr:rowOff>52753</xdr:rowOff>
    </xdr:to>
    <xdr:graphicFrame macro="">
      <xdr:nvGraphicFramePr>
        <xdr:cNvPr id="2" name="Chart 1">
          <a:extLst>
            <a:ext uri="{FF2B5EF4-FFF2-40B4-BE49-F238E27FC236}">
              <a16:creationId xmlns:a16="http://schemas.microsoft.com/office/drawing/2014/main" id="{5366FA5D-4A49-8827-AA2C-20C96AD4B1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621323</xdr:colOff>
      <xdr:row>9</xdr:row>
      <xdr:rowOff>5862</xdr:rowOff>
    </xdr:from>
    <xdr:to>
      <xdr:col>7</xdr:col>
      <xdr:colOff>896816</xdr:colOff>
      <xdr:row>19</xdr:row>
      <xdr:rowOff>41031</xdr:rowOff>
    </xdr:to>
    <xdr:graphicFrame macro="">
      <xdr:nvGraphicFramePr>
        <xdr:cNvPr id="3" name="Chart 2">
          <a:extLst>
            <a:ext uri="{FF2B5EF4-FFF2-40B4-BE49-F238E27FC236}">
              <a16:creationId xmlns:a16="http://schemas.microsoft.com/office/drawing/2014/main" id="{5F6C1789-9AFE-F9AF-E841-80DFBE4E6F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211014</xdr:colOff>
      <xdr:row>9</xdr:row>
      <xdr:rowOff>11722</xdr:rowOff>
    </xdr:from>
    <xdr:to>
      <xdr:col>11</xdr:col>
      <xdr:colOff>492369</xdr:colOff>
      <xdr:row>19</xdr:row>
      <xdr:rowOff>58614</xdr:rowOff>
    </xdr:to>
    <xdr:graphicFrame macro="">
      <xdr:nvGraphicFramePr>
        <xdr:cNvPr id="4" name="Chart 3">
          <a:extLst>
            <a:ext uri="{FF2B5EF4-FFF2-40B4-BE49-F238E27FC236}">
              <a16:creationId xmlns:a16="http://schemas.microsoft.com/office/drawing/2014/main" id="{11F0C660-862C-3017-F20B-6A32F553F5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76200</xdr:colOff>
      <xdr:row>0</xdr:row>
      <xdr:rowOff>59789</xdr:rowOff>
    </xdr:from>
    <xdr:to>
      <xdr:col>11</xdr:col>
      <xdr:colOff>545123</xdr:colOff>
      <xdr:row>1</xdr:row>
      <xdr:rowOff>134815</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1A90355C-FB65-6C74-8868-7C8F9B65942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6200" y="59789"/>
              <a:ext cx="10275277" cy="3563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492369</xdr:colOff>
      <xdr:row>1</xdr:row>
      <xdr:rowOff>187569</xdr:rowOff>
    </xdr:from>
    <xdr:to>
      <xdr:col>1</xdr:col>
      <xdr:colOff>480646</xdr:colOff>
      <xdr:row>1</xdr:row>
      <xdr:rowOff>427892</xdr:rowOff>
    </xdr:to>
    <xdr:sp macro="" textlink="">
      <xdr:nvSpPr>
        <xdr:cNvPr id="6" name="Speech Bubble: Rectangle with Corners Rounded 5">
          <a:extLst>
            <a:ext uri="{FF2B5EF4-FFF2-40B4-BE49-F238E27FC236}">
              <a16:creationId xmlns:a16="http://schemas.microsoft.com/office/drawing/2014/main" id="{0F5C6D02-1A49-70D7-7497-AC244C07BB30}"/>
            </a:ext>
          </a:extLst>
        </xdr:cNvPr>
        <xdr:cNvSpPr/>
      </xdr:nvSpPr>
      <xdr:spPr>
        <a:xfrm>
          <a:off x="492369" y="586154"/>
          <a:ext cx="1336431" cy="240323"/>
        </a:xfrm>
        <a:prstGeom prst="wedgeRoundRectCallout">
          <a:avLst>
            <a:gd name="adj1" fmla="val -21710"/>
            <a:gd name="adj2" fmla="val 79573"/>
            <a:gd name="adj3" fmla="val 16667"/>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701040</xdr:colOff>
          <xdr:row>1</xdr:row>
          <xdr:rowOff>198120</xdr:rowOff>
        </xdr:from>
        <xdr:to>
          <xdr:col>1</xdr:col>
          <xdr:colOff>243840</xdr:colOff>
          <xdr:row>1</xdr:row>
          <xdr:rowOff>419100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222739</xdr:colOff>
      <xdr:row>1</xdr:row>
      <xdr:rowOff>193431</xdr:rowOff>
    </xdr:from>
    <xdr:to>
      <xdr:col>4</xdr:col>
      <xdr:colOff>322385</xdr:colOff>
      <xdr:row>1</xdr:row>
      <xdr:rowOff>433754</xdr:rowOff>
    </xdr:to>
    <xdr:sp macro="" textlink="">
      <xdr:nvSpPr>
        <xdr:cNvPr id="7" name="Speech Bubble: Rectangle with Corners Rounded 6">
          <a:extLst>
            <a:ext uri="{FF2B5EF4-FFF2-40B4-BE49-F238E27FC236}">
              <a16:creationId xmlns:a16="http://schemas.microsoft.com/office/drawing/2014/main" id="{AD8545CD-0357-4961-8546-CC00F4500BF0}"/>
            </a:ext>
          </a:extLst>
        </xdr:cNvPr>
        <xdr:cNvSpPr/>
      </xdr:nvSpPr>
      <xdr:spPr>
        <a:xfrm>
          <a:off x="2737339" y="592016"/>
          <a:ext cx="1336431" cy="240323"/>
        </a:xfrm>
        <a:prstGeom prst="wedgeRoundRectCallout">
          <a:avLst>
            <a:gd name="adj1" fmla="val -21710"/>
            <a:gd name="adj2" fmla="val 79573"/>
            <a:gd name="adj3" fmla="val 16667"/>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487680</xdr:colOff>
          <xdr:row>1</xdr:row>
          <xdr:rowOff>182880</xdr:rowOff>
        </xdr:from>
        <xdr:to>
          <xdr:col>4</xdr:col>
          <xdr:colOff>144780</xdr:colOff>
          <xdr:row>1</xdr:row>
          <xdr:rowOff>403860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246185</xdr:colOff>
      <xdr:row>1</xdr:row>
      <xdr:rowOff>193431</xdr:rowOff>
    </xdr:from>
    <xdr:to>
      <xdr:col>7</xdr:col>
      <xdr:colOff>369278</xdr:colOff>
      <xdr:row>1</xdr:row>
      <xdr:rowOff>433754</xdr:rowOff>
    </xdr:to>
    <xdr:sp macro="" textlink="">
      <xdr:nvSpPr>
        <xdr:cNvPr id="8" name="Speech Bubble: Rectangle with Corners Rounded 7">
          <a:extLst>
            <a:ext uri="{FF2B5EF4-FFF2-40B4-BE49-F238E27FC236}">
              <a16:creationId xmlns:a16="http://schemas.microsoft.com/office/drawing/2014/main" id="{2BCD158C-E847-48F1-BA3C-8C861D562CBB}"/>
            </a:ext>
          </a:extLst>
        </xdr:cNvPr>
        <xdr:cNvSpPr/>
      </xdr:nvSpPr>
      <xdr:spPr>
        <a:xfrm>
          <a:off x="5140570" y="592016"/>
          <a:ext cx="1336431" cy="240323"/>
        </a:xfrm>
        <a:prstGeom prst="wedgeRoundRectCallout">
          <a:avLst>
            <a:gd name="adj1" fmla="val -21710"/>
            <a:gd name="adj2" fmla="val 79573"/>
            <a:gd name="adj3" fmla="val 16667"/>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457200</xdr:colOff>
          <xdr:row>1</xdr:row>
          <xdr:rowOff>198120</xdr:rowOff>
        </xdr:from>
        <xdr:to>
          <xdr:col>7</xdr:col>
          <xdr:colOff>137160</xdr:colOff>
          <xdr:row>1</xdr:row>
          <xdr:rowOff>419100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281353</xdr:colOff>
      <xdr:row>1</xdr:row>
      <xdr:rowOff>164124</xdr:rowOff>
    </xdr:from>
    <xdr:to>
      <xdr:col>10</xdr:col>
      <xdr:colOff>422030</xdr:colOff>
      <xdr:row>1</xdr:row>
      <xdr:rowOff>404447</xdr:rowOff>
    </xdr:to>
    <xdr:sp macro="" textlink="">
      <xdr:nvSpPr>
        <xdr:cNvPr id="9" name="Speech Bubble: Rectangle with Corners Rounded 8">
          <a:extLst>
            <a:ext uri="{FF2B5EF4-FFF2-40B4-BE49-F238E27FC236}">
              <a16:creationId xmlns:a16="http://schemas.microsoft.com/office/drawing/2014/main" id="{B47EC5FD-3205-46DA-B060-E26528028F5C}"/>
            </a:ext>
          </a:extLst>
        </xdr:cNvPr>
        <xdr:cNvSpPr/>
      </xdr:nvSpPr>
      <xdr:spPr>
        <a:xfrm>
          <a:off x="7666891" y="562709"/>
          <a:ext cx="1336431" cy="240323"/>
        </a:xfrm>
        <a:prstGeom prst="wedgeRoundRectCallout">
          <a:avLst>
            <a:gd name="adj1" fmla="val -21710"/>
            <a:gd name="adj2" fmla="val 79573"/>
            <a:gd name="adj3" fmla="val 16667"/>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586740</xdr:colOff>
          <xdr:row>1</xdr:row>
          <xdr:rowOff>182880</xdr:rowOff>
        </xdr:from>
        <xdr:to>
          <xdr:col>10</xdr:col>
          <xdr:colOff>281940</xdr:colOff>
          <xdr:row>1</xdr:row>
          <xdr:rowOff>403860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ehak Sharma" refreshedDate="45860.57134328704" createdVersion="8" refreshedVersion="8" minRefreshableVersion="3" recordCount="40" xr:uid="{BEBEC852-0C01-41F6-8DFB-D6091E9A36CB}">
  <cacheSource type="worksheet">
    <worksheetSource ref="A1:L41" sheet="Sheet1"/>
  </cacheSource>
  <cacheFields count="12">
    <cacheField name="Emp Code" numFmtId="0">
      <sharedItems/>
    </cacheField>
    <cacheField name="Sales Executive" numFmtId="0">
      <sharedItems count="40">
        <s v="Raj Verma"/>
        <s v="Tanuja Kale"/>
        <s v="Arvind Sharma"/>
        <s v="Tahira Qureshi"/>
        <s v="Anuj Sharma"/>
        <s v="Syed Sohail"/>
        <s v="Syed Saqid"/>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Kamini Kumar"/>
        <s v="Kalpana Agrawal"/>
        <s v="Indra Pal"/>
        <s v="Dinesh Kumar"/>
      </sharedItems>
    </cacheField>
    <cacheField name="Region" numFmtId="0">
      <sharedItems count="8">
        <s v="Mumbai"/>
        <s v="Dehl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1" maxValue="98"/>
    </cacheField>
    <cacheField name="Day4" numFmtId="0">
      <sharedItems containsSemiMixedTypes="0" containsString="0" containsNumber="1" containsInteger="1" minValue="10" maxValue="99"/>
    </cacheField>
    <cacheField name="Day5" numFmtId="0">
      <sharedItems containsSemiMixedTypes="0" containsString="0" containsNumber="1" containsInteger="1" minValue="11" maxValue="94"/>
    </cacheField>
    <cacheField name="Total Sales" numFmtId="0">
      <sharedItems containsSemiMixedTypes="0" containsString="0" containsNumber="1" containsInteger="1" minValue="136" maxValue="422"/>
    </cacheField>
    <cacheField name="Target" numFmtId="0">
      <sharedItems containsSemiMixedTypes="0" containsString="0" containsNumber="1" containsInteger="1" minValue="500" maxValue="500"/>
    </cacheField>
    <cacheField name="Target Hit%" numFmtId="10">
      <sharedItems containsSemiMixedTypes="0" containsString="0" containsNumber="1" minValue="0.27200000000000002" maxValue="0.84399999999999997"/>
    </cacheField>
    <cacheField name="Away From Target %" numFmtId="10">
      <sharedItems containsSemiMixedTypes="0" containsString="0" containsNumber="1" minValue="0.15600000000000003" maxValue="0.72799999999999998"/>
    </cacheField>
  </cacheFields>
  <extLst>
    <ext xmlns:x14="http://schemas.microsoft.com/office/spreadsheetml/2009/9/main" uri="{725AE2AE-9491-48be-B2B4-4EB974FC3084}">
      <x14:pivotCacheDefinition pivotCacheId="7128924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53"/>
    <n v="44"/>
    <n v="261"/>
    <n v="500"/>
    <n v="0.52200000000000002"/>
    <n v="0.47799999999999998"/>
  </r>
  <r>
    <s v="Mum-TCL023"/>
    <x v="22"/>
    <x v="6"/>
    <n v="57"/>
    <n v="28"/>
    <n v="44"/>
    <n v="93"/>
    <n v="34"/>
    <n v="256"/>
    <n v="500"/>
    <n v="0.51200000000000001"/>
    <n v="0.48799999999999999"/>
  </r>
  <r>
    <s v="Mum-TCL024"/>
    <x v="23"/>
    <x v="7"/>
    <n v="40"/>
    <n v="22"/>
    <n v="11"/>
    <n v="52"/>
    <n v="11"/>
    <n v="136"/>
    <n v="500"/>
    <n v="0.27200000000000002"/>
    <n v="0.72799999999999998"/>
  </r>
  <r>
    <s v="Mum-TCL025"/>
    <x v="24"/>
    <x v="0"/>
    <n v="47"/>
    <n v="99"/>
    <n v="75"/>
    <n v="92"/>
    <n v="75"/>
    <n v="388"/>
    <n v="500"/>
    <n v="0.77600000000000002"/>
    <n v="0.22399999999999998"/>
  </r>
  <r>
    <s v="Mum-TCL026"/>
    <x v="25"/>
    <x v="1"/>
    <n v="16"/>
    <n v="71"/>
    <n v="76"/>
    <n v="29"/>
    <n v="76"/>
    <n v="268"/>
    <n v="500"/>
    <n v="0.53600000000000003"/>
    <n v="0.46399999999999997"/>
  </r>
  <r>
    <s v="Mum-TCL027"/>
    <x v="26"/>
    <x v="2"/>
    <n v="72"/>
    <n v="87"/>
    <n v="72"/>
    <n v="33"/>
    <n v="72"/>
    <n v="336"/>
    <n v="500"/>
    <n v="0.67200000000000004"/>
    <n v="0.32799999999999996"/>
  </r>
  <r>
    <s v="Mum-TCL028"/>
    <x v="27"/>
    <x v="3"/>
    <n v="30"/>
    <n v="38"/>
    <n v="89"/>
    <n v="34"/>
    <n v="89"/>
    <n v="280"/>
    <n v="500"/>
    <n v="0.56000000000000005"/>
    <n v="0.43999999999999995"/>
  </r>
  <r>
    <s v="Mum-TCL029"/>
    <x v="28"/>
    <x v="4"/>
    <n v="65"/>
    <n v="90"/>
    <n v="85"/>
    <n v="97"/>
    <n v="85"/>
    <n v="422"/>
    <n v="500"/>
    <n v="0.84399999999999997"/>
    <n v="0.15600000000000003"/>
  </r>
  <r>
    <s v="Mum-TCL030"/>
    <x v="29"/>
    <x v="5"/>
    <n v="83"/>
    <n v="46"/>
    <n v="36"/>
    <n v="10"/>
    <n v="36"/>
    <n v="211"/>
    <n v="500"/>
    <n v="0.42199999999999999"/>
    <n v="0.57800000000000007"/>
  </r>
  <r>
    <s v="Mum-TCL031"/>
    <x v="30"/>
    <x v="6"/>
    <n v="10"/>
    <n v="66"/>
    <n v="22"/>
    <n v="89"/>
    <n v="22"/>
    <n v="209"/>
    <n v="500"/>
    <n v="0.41799999999999998"/>
    <n v="0.58200000000000007"/>
  </r>
  <r>
    <s v="Mum-TCL032"/>
    <x v="31"/>
    <x v="7"/>
    <n v="37"/>
    <n v="30"/>
    <n v="77"/>
    <n v="38"/>
    <n v="77"/>
    <n v="259"/>
    <n v="500"/>
    <n v="0.51800000000000002"/>
    <n v="0.48199999999999998"/>
  </r>
  <r>
    <s v="Mum-TCL033"/>
    <x v="32"/>
    <x v="0"/>
    <n v="83"/>
    <n v="46"/>
    <n v="94"/>
    <n v="67"/>
    <n v="94"/>
    <n v="384"/>
    <n v="500"/>
    <n v="0.76800000000000002"/>
    <n v="0.23199999999999998"/>
  </r>
  <r>
    <s v="Mum-TCL034"/>
    <x v="33"/>
    <x v="1"/>
    <n v="84"/>
    <n v="59"/>
    <n v="17"/>
    <n v="92"/>
    <n v="17"/>
    <n v="269"/>
    <n v="500"/>
    <n v="0.53800000000000003"/>
    <n v="0.46199999999999997"/>
  </r>
  <r>
    <s v="Mum-TCL035"/>
    <x v="34"/>
    <x v="2"/>
    <n v="82"/>
    <n v="54"/>
    <n v="61"/>
    <n v="22"/>
    <n v="61"/>
    <n v="280"/>
    <n v="500"/>
    <n v="0.56000000000000005"/>
    <n v="0.43999999999999995"/>
  </r>
  <r>
    <s v="Mum-TCL036"/>
    <x v="35"/>
    <x v="3"/>
    <n v="47"/>
    <n v="23"/>
    <n v="64"/>
    <n v="47"/>
    <n v="64"/>
    <n v="245"/>
    <n v="500"/>
    <n v="0.49"/>
    <n v="0.51"/>
  </r>
  <r>
    <s v="Mum-TCL037"/>
    <x v="36"/>
    <x v="5"/>
    <n v="61"/>
    <n v="30"/>
    <n v="32"/>
    <n v="99"/>
    <n v="90"/>
    <n v="312"/>
    <n v="500"/>
    <n v="0.624"/>
    <n v="0.376"/>
  </r>
  <r>
    <s v="Mum-TCL038"/>
    <x v="37"/>
    <x v="6"/>
    <n v="55"/>
    <n v="54"/>
    <n v="56"/>
    <n v="67"/>
    <n v="91"/>
    <n v="323"/>
    <n v="500"/>
    <n v="0.64600000000000002"/>
    <n v="0.35399999999999998"/>
  </r>
  <r>
    <s v="Mum-TCL039"/>
    <x v="38"/>
    <x v="1"/>
    <n v="67"/>
    <n v="83"/>
    <n v="25"/>
    <n v="45"/>
    <n v="45"/>
    <n v="265"/>
    <n v="500"/>
    <n v="0.53"/>
    <n v="0.47"/>
  </r>
  <r>
    <s v="Mum-TCL040"/>
    <x v="39"/>
    <x v="7"/>
    <n v="88"/>
    <n v="11"/>
    <n v="78"/>
    <n v="87"/>
    <n v="77"/>
    <n v="341"/>
    <n v="500"/>
    <n v="0.68200000000000005"/>
    <n v="0.3179999999999999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F945857-BF91-4E6C-B7A3-19DF1F4B2B07}" name="PivotTable3"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41">
        <item x="4"/>
        <item x="2"/>
        <item x="39"/>
        <item x="38"/>
        <item x="37"/>
        <item x="36"/>
        <item x="0"/>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2"/>
    </i>
    <i>
      <x v="13"/>
    </i>
    <i>
      <x v="19"/>
    </i>
    <i>
      <x v="27"/>
    </i>
    <i>
      <x v="34"/>
    </i>
  </rowItems>
  <colItems count="1">
    <i/>
  </colItems>
  <dataFields count="1">
    <dataField name="Total Sales " fld="8" baseField="1" baseItem="1"/>
  </dataField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499F3C9-2AB1-4B1F-BC1C-BD10A6B41CC0}" name="PivotTable1"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5" rowHeaderCaption="Sales Executive">
  <location ref="A3:B8" firstHeaderRow="1" firstDataRow="1" firstDataCol="1"/>
  <pivotFields count="12">
    <pivotField showAll="0"/>
    <pivotField axis="axisRow" compact="0" showAll="0" measureFilter="1">
      <items count="41">
        <item x="4"/>
        <item x="2"/>
        <item x="39"/>
        <item x="38"/>
        <item x="37"/>
        <item x="36"/>
        <item x="0"/>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10"/>
    </i>
    <i>
      <x v="14"/>
    </i>
    <i>
      <x v="18"/>
    </i>
    <i>
      <x v="31"/>
    </i>
  </rowItems>
  <colItems count="1">
    <i/>
  </colItems>
  <dataFields count="1">
    <dataField name="Total Sales " fld="8" baseField="1" baseItem="1"/>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969791C-D425-4352-9021-27ED9F4663DE}"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41">
        <item x="4"/>
        <item x="2"/>
        <item x="39"/>
        <item x="38"/>
        <item x="37"/>
        <item x="36"/>
        <item x="0"/>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2"/>
    </i>
    <i>
      <x v="13"/>
    </i>
    <i>
      <x v="19"/>
    </i>
    <i>
      <x v="27"/>
    </i>
    <i>
      <x v="34"/>
    </i>
  </rowItems>
  <colItems count="1">
    <i/>
  </colItems>
  <dataFields count="1">
    <dataField name="Away From Target % " fld="11" baseField="1" baseItem="12"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9"/>
          </reference>
        </references>
      </pivotArea>
    </chartFormat>
    <chartFormat chart="0" format="2">
      <pivotArea type="data" outline="0" fieldPosition="0">
        <references count="2">
          <reference field="4294967294" count="1" selected="0">
            <x v="0"/>
          </reference>
          <reference field="1" count="1" selected="0">
            <x v="13"/>
          </reference>
        </references>
      </pivotArea>
    </chartFormat>
    <chartFormat chart="0" format="3">
      <pivotArea type="data" outline="0" fieldPosition="0">
        <references count="2">
          <reference field="4294967294" count="1" selected="0">
            <x v="0"/>
          </reference>
          <reference field="1" count="1" selected="0">
            <x v="12"/>
          </reference>
        </references>
      </pivotArea>
    </chartFormat>
    <chartFormat chart="0" format="4">
      <pivotArea type="data" outline="0" fieldPosition="0">
        <references count="2">
          <reference field="4294967294" count="1" selected="0">
            <x v="0"/>
          </reference>
          <reference field="1" count="1" selected="0">
            <x v="27"/>
          </reference>
        </references>
      </pivotArea>
    </chartFormat>
    <chartFormat chart="0" format="5">
      <pivotArea type="data" outline="0" fieldPosition="0">
        <references count="2">
          <reference field="4294967294" count="1" selected="0">
            <x v="0"/>
          </reference>
          <reference field="1" count="1" selected="0">
            <x v="34"/>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7A8AB5E-BE22-42A6-B0AE-5AE02AD58B3E}" name="PivotTable4"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41">
        <item x="4"/>
        <item x="2"/>
        <item x="39"/>
        <item x="38"/>
        <item x="37"/>
        <item x="36"/>
        <item x="0"/>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13"/>
    </i>
    <i>
      <x v="21"/>
    </i>
    <i>
      <x v="29"/>
    </i>
    <i>
      <x v="37"/>
    </i>
  </rowItems>
  <colItems count="1">
    <i/>
  </colItems>
  <dataFields count="1">
    <dataField name="Target Hit% " fld="10" baseField="1" baseItem="1"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4"/>
          </reference>
        </references>
      </pivotArea>
    </chartFormat>
    <chartFormat chart="0" format="3">
      <pivotArea type="data" outline="0" fieldPosition="0">
        <references count="2">
          <reference field="4294967294" count="1" selected="0">
            <x v="0"/>
          </reference>
          <reference field="1" count="1" selected="0">
            <x v="22"/>
          </reference>
        </references>
      </pivotArea>
    </chartFormat>
    <chartFormat chart="0" format="4">
      <pivotArea type="data" outline="0" fieldPosition="0">
        <references count="2">
          <reference field="4294967294" count="1" selected="0">
            <x v="0"/>
          </reference>
          <reference field="1" count="1" selected="0">
            <x v="30"/>
          </reference>
        </references>
      </pivotArea>
    </chartFormat>
    <chartFormat chart="0" format="5">
      <pivotArea type="data" outline="0" fieldPosition="0">
        <references count="2">
          <reference field="4294967294" count="1" selected="0">
            <x v="0"/>
          </reference>
          <reference field="1" count="1" selected="0">
            <x v="5"/>
          </reference>
        </references>
      </pivotArea>
    </chartFormat>
    <chartFormat chart="0" format="6">
      <pivotArea type="data" outline="0" fieldPosition="0">
        <references count="2">
          <reference field="4294967294" count="1" selected="0">
            <x v="0"/>
          </reference>
          <reference field="1" count="1" selected="0">
            <x v="13"/>
          </reference>
        </references>
      </pivotArea>
    </chartFormat>
    <chartFormat chart="0" format="7">
      <pivotArea type="data" outline="0" fieldPosition="0">
        <references count="2">
          <reference field="4294967294" count="1" selected="0">
            <x v="0"/>
          </reference>
          <reference field="1" count="1" selected="0">
            <x v="21"/>
          </reference>
        </references>
      </pivotArea>
    </chartFormat>
    <chartFormat chart="0" format="8">
      <pivotArea type="data" outline="0" fieldPosition="0">
        <references count="2">
          <reference field="4294967294" count="1" selected="0">
            <x v="0"/>
          </reference>
          <reference field="1" count="1" selected="0">
            <x v="29"/>
          </reference>
        </references>
      </pivotArea>
    </chartFormat>
    <chartFormat chart="0" format="9">
      <pivotArea type="data" outline="0" fieldPosition="0">
        <references count="2">
          <reference field="4294967294" count="1" selected="0">
            <x v="0"/>
          </reference>
          <reference field="1" count="1" selected="0">
            <x v="37"/>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2D5D72B-0277-473D-BA3A-4C5D50473903}" sourceName="Region">
  <pivotTables>
    <pivotTable tabId="2" name="PivotTable4"/>
  </pivotTables>
  <data>
    <tabular pivotCacheId="712892494">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72C4B84-0262-40A7-89DF-BAC6DF436073}" cache="Slicer_Region" caption="Region" columnCount="8" showCaption="0" style="Slicer Style 2"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564F7-46B9-4EE9-8035-BC5BDC6AB322}">
  <sheetPr codeName="Sheet1"/>
  <dimension ref="A1:L20"/>
  <sheetViews>
    <sheetView showGridLines="0" showRowColHeaders="0" zoomScale="130" zoomScaleNormal="130" workbookViewId="0">
      <selection activeCell="M5" sqref="M5"/>
    </sheetView>
  </sheetViews>
  <sheetFormatPr defaultRowHeight="14.4" x14ac:dyDescent="0.3"/>
  <cols>
    <col min="1" max="1" width="19.6640625" customWidth="1"/>
    <col min="2" max="2" width="13.6640625" customWidth="1"/>
    <col min="3" max="3" width="3.33203125" customWidth="1"/>
    <col min="4" max="4" width="18" customWidth="1"/>
    <col min="5" max="5" width="12.44140625" customWidth="1"/>
    <col min="6" max="6" width="4.21875" customWidth="1"/>
    <col min="7" max="7" width="17.6640625" customWidth="1"/>
    <col min="8" max="8" width="13.5546875" customWidth="1"/>
    <col min="9" max="9" width="5" customWidth="1"/>
    <col min="10" max="10" width="17.44140625" customWidth="1"/>
    <col min="11" max="11" width="17.88671875" customWidth="1"/>
  </cols>
  <sheetData>
    <row r="1" spans="1:12" ht="22.2" customHeight="1" x14ac:dyDescent="0.3">
      <c r="A1" s="5" t="b">
        <v>0</v>
      </c>
      <c r="B1" s="5"/>
      <c r="C1" s="5"/>
      <c r="D1" s="5" t="b">
        <v>0</v>
      </c>
      <c r="E1" s="5"/>
      <c r="F1" s="5"/>
      <c r="G1" s="5" t="b">
        <v>1</v>
      </c>
      <c r="H1" s="5"/>
      <c r="I1" s="5"/>
      <c r="J1" s="5" t="b">
        <v>0</v>
      </c>
      <c r="K1" s="5"/>
      <c r="L1" s="5"/>
    </row>
    <row r="2" spans="1:12" ht="42.6" customHeight="1" x14ac:dyDescent="0.3">
      <c r="A2" s="5"/>
      <c r="B2" s="5"/>
      <c r="C2" s="5"/>
      <c r="D2" s="5"/>
      <c r="E2" s="5"/>
      <c r="F2" s="5"/>
      <c r="G2" s="5"/>
      <c r="H2" s="5"/>
      <c r="I2" s="5"/>
      <c r="J2" s="5"/>
      <c r="K2" s="5"/>
      <c r="L2" s="5"/>
    </row>
    <row r="3" spans="1:12" x14ac:dyDescent="0.3">
      <c r="A3" s="3" t="s">
        <v>41</v>
      </c>
      <c r="B3" t="s">
        <v>100</v>
      </c>
      <c r="C3" s="5"/>
      <c r="D3" s="3" t="s">
        <v>41</v>
      </c>
      <c r="E3" t="s">
        <v>100</v>
      </c>
      <c r="F3" s="5"/>
      <c r="G3" s="3" t="s">
        <v>41</v>
      </c>
      <c r="H3" t="s">
        <v>101</v>
      </c>
      <c r="I3" s="5"/>
      <c r="J3" s="3" t="s">
        <v>41</v>
      </c>
      <c r="K3" t="s">
        <v>102</v>
      </c>
      <c r="L3" s="5"/>
    </row>
    <row r="4" spans="1:12" x14ac:dyDescent="0.3">
      <c r="A4" s="4" t="s">
        <v>44</v>
      </c>
      <c r="B4" s="6">
        <v>379</v>
      </c>
      <c r="C4" s="5"/>
      <c r="D4" s="4" t="s">
        <v>90</v>
      </c>
      <c r="E4" s="6">
        <v>209</v>
      </c>
      <c r="F4" s="5"/>
      <c r="G4" s="4" t="s">
        <v>96</v>
      </c>
      <c r="H4" s="1">
        <v>0.624</v>
      </c>
      <c r="I4" s="5"/>
      <c r="J4" s="4" t="s">
        <v>90</v>
      </c>
      <c r="K4" s="1">
        <v>0.58200000000000007</v>
      </c>
      <c r="L4" s="5"/>
    </row>
    <row r="5" spans="1:12" x14ac:dyDescent="0.3">
      <c r="A5" s="4" t="s">
        <v>92</v>
      </c>
      <c r="B5" s="6">
        <v>384</v>
      </c>
      <c r="C5" s="5"/>
      <c r="D5" s="4" t="s">
        <v>89</v>
      </c>
      <c r="E5" s="6">
        <v>211</v>
      </c>
      <c r="F5" s="5"/>
      <c r="G5" s="4" t="s">
        <v>89</v>
      </c>
      <c r="H5" s="1">
        <v>0.42199999999999999</v>
      </c>
      <c r="I5" s="5"/>
      <c r="J5" s="4" t="s">
        <v>89</v>
      </c>
      <c r="K5" s="1">
        <v>0.57800000000000007</v>
      </c>
      <c r="L5" s="5"/>
    </row>
    <row r="6" spans="1:12" x14ac:dyDescent="0.3">
      <c r="A6" s="4" t="s">
        <v>88</v>
      </c>
      <c r="B6" s="6">
        <v>422</v>
      </c>
      <c r="C6" s="5"/>
      <c r="D6" s="4" t="s">
        <v>83</v>
      </c>
      <c r="E6" s="6">
        <v>136</v>
      </c>
      <c r="F6" s="5"/>
      <c r="G6" s="4" t="s">
        <v>81</v>
      </c>
      <c r="H6" s="1">
        <v>0.52200000000000002</v>
      </c>
      <c r="I6" s="5"/>
      <c r="J6" s="4" t="s">
        <v>83</v>
      </c>
      <c r="K6" s="1">
        <v>0.72799999999999998</v>
      </c>
      <c r="L6" s="5"/>
    </row>
    <row r="7" spans="1:12" x14ac:dyDescent="0.3">
      <c r="A7" s="4" t="s">
        <v>84</v>
      </c>
      <c r="B7" s="6">
        <v>388</v>
      </c>
      <c r="C7" s="5"/>
      <c r="D7" s="4" t="s">
        <v>57</v>
      </c>
      <c r="E7" s="6">
        <v>199</v>
      </c>
      <c r="F7" s="5"/>
      <c r="G7" s="4" t="s">
        <v>55</v>
      </c>
      <c r="H7" s="1">
        <v>0.57599999999999996</v>
      </c>
      <c r="I7" s="5"/>
      <c r="J7" s="4" t="s">
        <v>57</v>
      </c>
      <c r="K7" s="1">
        <v>0.60199999999999998</v>
      </c>
      <c r="L7" s="5"/>
    </row>
    <row r="8" spans="1:12" x14ac:dyDescent="0.3">
      <c r="A8" s="4" t="s">
        <v>53</v>
      </c>
      <c r="B8" s="6">
        <v>376</v>
      </c>
      <c r="C8" s="5"/>
      <c r="D8" s="4" t="s">
        <v>50</v>
      </c>
      <c r="E8" s="6">
        <v>189</v>
      </c>
      <c r="F8" s="5"/>
      <c r="G8" s="4" t="s">
        <v>47</v>
      </c>
      <c r="H8" s="1">
        <v>0.53</v>
      </c>
      <c r="I8" s="5"/>
      <c r="J8" s="4" t="s">
        <v>50</v>
      </c>
      <c r="K8" s="1">
        <v>0.622</v>
      </c>
      <c r="L8" s="5"/>
    </row>
    <row r="9" spans="1:12" x14ac:dyDescent="0.3">
      <c r="A9" s="5"/>
      <c r="B9" s="5"/>
      <c r="C9" s="5"/>
      <c r="D9" s="5"/>
      <c r="E9" s="5"/>
      <c r="F9" s="5"/>
      <c r="G9" s="5"/>
      <c r="H9" s="5"/>
      <c r="I9" s="5"/>
      <c r="J9" s="5"/>
      <c r="K9" s="5"/>
      <c r="L9" s="5"/>
    </row>
    <row r="10" spans="1:12" x14ac:dyDescent="0.3">
      <c r="A10" s="5"/>
      <c r="B10" s="5"/>
      <c r="C10" s="5"/>
      <c r="D10" s="5"/>
      <c r="E10" s="5"/>
      <c r="F10" s="5"/>
      <c r="G10" s="5"/>
      <c r="H10" s="5"/>
      <c r="I10" s="5"/>
      <c r="J10" s="5"/>
      <c r="K10" s="5"/>
      <c r="L10" s="5"/>
    </row>
    <row r="11" spans="1:12" x14ac:dyDescent="0.3">
      <c r="A11" s="5"/>
      <c r="B11" s="5"/>
      <c r="C11" s="5"/>
      <c r="D11" s="5"/>
      <c r="E11" s="5"/>
      <c r="F11" s="5"/>
      <c r="G11" s="5"/>
      <c r="H11" s="5"/>
      <c r="I11" s="5"/>
      <c r="J11" s="5"/>
      <c r="K11" s="5"/>
      <c r="L11" s="5"/>
    </row>
    <row r="12" spans="1:12" x14ac:dyDescent="0.3">
      <c r="A12" s="5"/>
      <c r="B12" s="5"/>
      <c r="C12" s="5"/>
      <c r="D12" s="5"/>
      <c r="E12" s="5"/>
      <c r="F12" s="5"/>
      <c r="G12" s="5"/>
      <c r="H12" s="5"/>
      <c r="I12" s="5"/>
      <c r="J12" s="5"/>
      <c r="K12" s="5"/>
      <c r="L12" s="5"/>
    </row>
    <row r="13" spans="1:12" x14ac:dyDescent="0.3">
      <c r="A13" s="5"/>
      <c r="B13" s="5"/>
      <c r="C13" s="5"/>
      <c r="D13" s="5"/>
      <c r="E13" s="5"/>
      <c r="F13" s="5"/>
      <c r="G13" s="5"/>
      <c r="H13" s="5"/>
      <c r="I13" s="5"/>
      <c r="J13" s="5"/>
      <c r="K13" s="5"/>
      <c r="L13" s="5"/>
    </row>
    <row r="14" spans="1:12" x14ac:dyDescent="0.3">
      <c r="A14" s="5"/>
      <c r="B14" s="5"/>
      <c r="C14" s="5"/>
      <c r="D14" s="5"/>
      <c r="E14" s="5"/>
      <c r="F14" s="5"/>
      <c r="G14" s="5"/>
      <c r="H14" s="5"/>
      <c r="I14" s="5"/>
      <c r="J14" s="5"/>
      <c r="K14" s="5"/>
      <c r="L14" s="5"/>
    </row>
    <row r="15" spans="1:12" x14ac:dyDescent="0.3">
      <c r="A15" s="5"/>
      <c r="B15" s="5"/>
      <c r="C15" s="5"/>
      <c r="D15" s="5"/>
      <c r="E15" s="5"/>
      <c r="F15" s="5"/>
      <c r="G15" s="5"/>
      <c r="H15" s="5"/>
      <c r="I15" s="5"/>
      <c r="J15" s="5"/>
      <c r="K15" s="5"/>
      <c r="L15" s="5"/>
    </row>
    <row r="16" spans="1:12" x14ac:dyDescent="0.3">
      <c r="A16" s="5"/>
      <c r="B16" s="5"/>
      <c r="C16" s="5"/>
      <c r="D16" s="5"/>
      <c r="E16" s="5"/>
      <c r="F16" s="5"/>
      <c r="G16" s="5"/>
      <c r="H16" s="5"/>
      <c r="I16" s="5"/>
      <c r="J16" s="5"/>
      <c r="K16" s="5"/>
      <c r="L16" s="5"/>
    </row>
    <row r="17" spans="1:12" x14ac:dyDescent="0.3">
      <c r="A17" s="5"/>
      <c r="B17" s="5"/>
      <c r="C17" s="5"/>
      <c r="D17" s="5"/>
      <c r="E17" s="5"/>
      <c r="F17" s="5"/>
      <c r="G17" s="5"/>
      <c r="H17" s="5"/>
      <c r="I17" s="5"/>
      <c r="J17" s="5"/>
      <c r="K17" s="5"/>
      <c r="L17" s="5"/>
    </row>
    <row r="18" spans="1:12" x14ac:dyDescent="0.3">
      <c r="A18" s="5"/>
      <c r="B18" s="5"/>
      <c r="C18" s="5"/>
      <c r="D18" s="5"/>
      <c r="E18" s="5"/>
      <c r="F18" s="5"/>
      <c r="G18" s="5"/>
      <c r="H18" s="5"/>
      <c r="I18" s="5"/>
      <c r="J18" s="5"/>
      <c r="K18" s="5"/>
      <c r="L18" s="5"/>
    </row>
    <row r="19" spans="1:12" x14ac:dyDescent="0.3">
      <c r="A19" s="5"/>
      <c r="B19" s="5"/>
      <c r="C19" s="5"/>
      <c r="D19" s="5"/>
      <c r="E19" s="5"/>
      <c r="F19" s="5"/>
      <c r="G19" s="5"/>
      <c r="H19" s="5"/>
      <c r="I19" s="5"/>
      <c r="J19" s="5"/>
      <c r="K19" s="5"/>
      <c r="L19" s="5"/>
    </row>
    <row r="20" spans="1:12" x14ac:dyDescent="0.3">
      <c r="A20" s="5"/>
      <c r="B20" s="5"/>
      <c r="C20" s="5"/>
      <c r="D20" s="5"/>
      <c r="E20" s="5"/>
      <c r="F20" s="5"/>
      <c r="G20" s="5"/>
      <c r="H20" s="5"/>
      <c r="I20" s="5"/>
      <c r="J20" s="5"/>
      <c r="K20" s="5"/>
      <c r="L20" s="5"/>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50" r:id="rId7" name="Check Box 2">
              <controlPr defaultSize="0" autoFill="0" autoLine="0" autoPict="0" macro="[0]!SlicerConnection">
                <anchor moveWithCells="1">
                  <from>
                    <xdr:col>0</xdr:col>
                    <xdr:colOff>701040</xdr:colOff>
                    <xdr:row>1</xdr:row>
                    <xdr:rowOff>198120</xdr:rowOff>
                  </from>
                  <to>
                    <xdr:col>1</xdr:col>
                    <xdr:colOff>243840</xdr:colOff>
                    <xdr:row>1</xdr:row>
                    <xdr:rowOff>419100</xdr:rowOff>
                  </to>
                </anchor>
              </controlPr>
            </control>
          </mc:Choice>
        </mc:AlternateContent>
        <mc:AlternateContent xmlns:mc="http://schemas.openxmlformats.org/markup-compatibility/2006">
          <mc:Choice Requires="x14">
            <control shapeId="2051" r:id="rId8" name="Check Box 3">
              <controlPr defaultSize="0" autoFill="0" autoLine="0" autoPict="0" macro="[0]!SlicerConnection">
                <anchor moveWithCells="1">
                  <from>
                    <xdr:col>3</xdr:col>
                    <xdr:colOff>487680</xdr:colOff>
                    <xdr:row>1</xdr:row>
                    <xdr:rowOff>182880</xdr:rowOff>
                  </from>
                  <to>
                    <xdr:col>4</xdr:col>
                    <xdr:colOff>144780</xdr:colOff>
                    <xdr:row>1</xdr:row>
                    <xdr:rowOff>403860</xdr:rowOff>
                  </to>
                </anchor>
              </controlPr>
            </control>
          </mc:Choice>
        </mc:AlternateContent>
        <mc:AlternateContent xmlns:mc="http://schemas.openxmlformats.org/markup-compatibility/2006">
          <mc:Choice Requires="x14">
            <control shapeId="2052" r:id="rId9" name="Check Box 4">
              <controlPr defaultSize="0" autoFill="0" autoLine="0" autoPict="0" macro="[0]!SlicerConnection">
                <anchor moveWithCells="1">
                  <from>
                    <xdr:col>6</xdr:col>
                    <xdr:colOff>457200</xdr:colOff>
                    <xdr:row>1</xdr:row>
                    <xdr:rowOff>198120</xdr:rowOff>
                  </from>
                  <to>
                    <xdr:col>7</xdr:col>
                    <xdr:colOff>137160</xdr:colOff>
                    <xdr:row>1</xdr:row>
                    <xdr:rowOff>419100</xdr:rowOff>
                  </to>
                </anchor>
              </controlPr>
            </control>
          </mc:Choice>
        </mc:AlternateContent>
        <mc:AlternateContent xmlns:mc="http://schemas.openxmlformats.org/markup-compatibility/2006">
          <mc:Choice Requires="x14">
            <control shapeId="2053" r:id="rId10" name="Check Box 5">
              <controlPr defaultSize="0" autoFill="0" autoLine="0" autoPict="0" macro="[0]!SlicerConnection">
                <anchor moveWithCells="1">
                  <from>
                    <xdr:col>9</xdr:col>
                    <xdr:colOff>586740</xdr:colOff>
                    <xdr:row>1</xdr:row>
                    <xdr:rowOff>182880</xdr:rowOff>
                  </from>
                  <to>
                    <xdr:col>10</xdr:col>
                    <xdr:colOff>281940</xdr:colOff>
                    <xdr:row>1</xdr:row>
                    <xdr:rowOff>403860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92843-207F-4C3B-913F-47D86C814318}">
  <sheetPr codeName="Sheet2"/>
  <dimension ref="A1:L41"/>
  <sheetViews>
    <sheetView tabSelected="1" topLeftCell="A40" zoomScale="130" zoomScaleNormal="130" workbookViewId="0">
      <selection sqref="A1:L41"/>
    </sheetView>
  </sheetViews>
  <sheetFormatPr defaultRowHeight="14.4" x14ac:dyDescent="0.3"/>
  <cols>
    <col min="1" max="1" width="11.88671875" bestFit="1" customWidth="1"/>
    <col min="2" max="2" width="18.44140625" bestFit="1" customWidth="1"/>
    <col min="9" max="9" width="9.77734375" bestFit="1" customWidth="1"/>
    <col min="11" max="11" width="10.44140625" bestFit="1" customWidth="1"/>
    <col min="12" max="12" width="17.88671875" bestFit="1" customWidth="1"/>
  </cols>
  <sheetData>
    <row r="1" spans="1:12" x14ac:dyDescent="0.3">
      <c r="A1" t="s">
        <v>0</v>
      </c>
      <c r="B1" t="s">
        <v>41</v>
      </c>
      <c r="C1" t="s">
        <v>63</v>
      </c>
      <c r="D1" t="s">
        <v>73</v>
      </c>
      <c r="E1" t="s">
        <v>72</v>
      </c>
      <c r="F1" t="s">
        <v>74</v>
      </c>
      <c r="G1" t="s">
        <v>75</v>
      </c>
      <c r="H1" t="s">
        <v>76</v>
      </c>
      <c r="I1" t="s">
        <v>77</v>
      </c>
      <c r="J1" t="s">
        <v>78</v>
      </c>
      <c r="K1" t="s">
        <v>79</v>
      </c>
      <c r="L1" t="s">
        <v>80</v>
      </c>
    </row>
    <row r="2" spans="1:12" x14ac:dyDescent="0.3">
      <c r="A2" t="s">
        <v>1</v>
      </c>
      <c r="B2" t="s">
        <v>42</v>
      </c>
      <c r="C2" t="s">
        <v>64</v>
      </c>
      <c r="D2">
        <v>49</v>
      </c>
      <c r="E2">
        <v>84</v>
      </c>
      <c r="F2">
        <v>98</v>
      </c>
      <c r="G2">
        <v>67</v>
      </c>
      <c r="H2">
        <v>41</v>
      </c>
      <c r="I2">
        <f>SUM(D2,E2,F2,G2,H2)</f>
        <v>339</v>
      </c>
      <c r="J2">
        <v>500</v>
      </c>
      <c r="K2" s="1">
        <v>0.67800000000000005</v>
      </c>
      <c r="L2" s="1">
        <v>0.32200000000000001</v>
      </c>
    </row>
    <row r="3" spans="1:12" x14ac:dyDescent="0.3">
      <c r="A3" t="s">
        <v>2</v>
      </c>
      <c r="B3" t="s">
        <v>43</v>
      </c>
      <c r="C3" t="s">
        <v>65</v>
      </c>
      <c r="D3">
        <v>44</v>
      </c>
      <c r="E3">
        <v>85</v>
      </c>
      <c r="F3">
        <v>47</v>
      </c>
      <c r="G3">
        <v>15</v>
      </c>
      <c r="H3">
        <v>48</v>
      </c>
      <c r="I3">
        <f t="shared" ref="I3:I41" si="0">SUM(D3,E3,F3,G3,H3)</f>
        <v>239</v>
      </c>
      <c r="J3">
        <v>500</v>
      </c>
      <c r="K3" s="1">
        <v>0.47799999999999998</v>
      </c>
      <c r="L3" s="1">
        <v>0.52200000000000002</v>
      </c>
    </row>
    <row r="4" spans="1:12" x14ac:dyDescent="0.3">
      <c r="A4" t="s">
        <v>3</v>
      </c>
      <c r="B4" t="s">
        <v>44</v>
      </c>
      <c r="C4" t="s">
        <v>66</v>
      </c>
      <c r="D4">
        <v>45</v>
      </c>
      <c r="E4">
        <v>79</v>
      </c>
      <c r="F4">
        <v>88</v>
      </c>
      <c r="G4">
        <v>73</v>
      </c>
      <c r="H4">
        <v>94</v>
      </c>
      <c r="I4">
        <f t="shared" si="0"/>
        <v>379</v>
      </c>
      <c r="J4">
        <v>500</v>
      </c>
      <c r="K4" s="1">
        <v>0.75800000000000001</v>
      </c>
      <c r="L4" s="1">
        <v>0.24199999999999999</v>
      </c>
    </row>
    <row r="5" spans="1:12" x14ac:dyDescent="0.3">
      <c r="A5" t="s">
        <v>4</v>
      </c>
      <c r="B5" t="s">
        <v>45</v>
      </c>
      <c r="C5" t="s">
        <v>67</v>
      </c>
      <c r="D5">
        <v>52</v>
      </c>
      <c r="E5">
        <v>99</v>
      </c>
      <c r="F5">
        <v>13</v>
      </c>
      <c r="G5">
        <v>95</v>
      </c>
      <c r="H5">
        <v>29</v>
      </c>
      <c r="I5">
        <f t="shared" si="0"/>
        <v>288</v>
      </c>
      <c r="J5">
        <v>500</v>
      </c>
      <c r="K5" s="1">
        <v>0.57599999999999996</v>
      </c>
      <c r="L5" s="1">
        <v>0.42399999999999999</v>
      </c>
    </row>
    <row r="6" spans="1:12" x14ac:dyDescent="0.3">
      <c r="A6" t="s">
        <v>5</v>
      </c>
      <c r="B6" t="s">
        <v>46</v>
      </c>
      <c r="C6" t="s">
        <v>68</v>
      </c>
      <c r="D6">
        <v>35</v>
      </c>
      <c r="E6">
        <v>54</v>
      </c>
      <c r="F6">
        <v>49</v>
      </c>
      <c r="G6">
        <v>26</v>
      </c>
      <c r="H6">
        <v>49</v>
      </c>
      <c r="I6">
        <f t="shared" si="0"/>
        <v>213</v>
      </c>
      <c r="J6">
        <v>500</v>
      </c>
      <c r="K6" s="1">
        <v>0.42599999999999999</v>
      </c>
      <c r="L6" s="1">
        <v>0.57399999999999995</v>
      </c>
    </row>
    <row r="7" spans="1:12" x14ac:dyDescent="0.3">
      <c r="A7" t="s">
        <v>6</v>
      </c>
      <c r="B7" t="s">
        <v>47</v>
      </c>
      <c r="C7" t="s">
        <v>69</v>
      </c>
      <c r="D7">
        <v>86</v>
      </c>
      <c r="E7">
        <v>31</v>
      </c>
      <c r="F7">
        <v>23</v>
      </c>
      <c r="G7">
        <v>48</v>
      </c>
      <c r="H7">
        <v>77</v>
      </c>
      <c r="I7">
        <f t="shared" si="0"/>
        <v>265</v>
      </c>
      <c r="J7">
        <v>500</v>
      </c>
      <c r="K7" s="1">
        <v>0.53</v>
      </c>
      <c r="L7" s="1">
        <f>100%-K7</f>
        <v>0.47</v>
      </c>
    </row>
    <row r="8" spans="1:12" x14ac:dyDescent="0.3">
      <c r="A8" t="s">
        <v>7</v>
      </c>
      <c r="B8" t="s">
        <v>48</v>
      </c>
      <c r="C8" t="s">
        <v>70</v>
      </c>
      <c r="D8">
        <v>84</v>
      </c>
      <c r="E8">
        <v>28</v>
      </c>
      <c r="F8">
        <v>98</v>
      </c>
      <c r="G8">
        <v>80</v>
      </c>
      <c r="H8">
        <v>79</v>
      </c>
      <c r="I8">
        <f t="shared" si="0"/>
        <v>369</v>
      </c>
      <c r="J8">
        <v>500</v>
      </c>
      <c r="K8" s="1">
        <v>0.73799999999999999</v>
      </c>
      <c r="L8" s="1">
        <f t="shared" ref="L8:L41" si="1">100%-K8</f>
        <v>0.26200000000000001</v>
      </c>
    </row>
    <row r="9" spans="1:12" x14ac:dyDescent="0.3">
      <c r="A9" t="s">
        <v>8</v>
      </c>
      <c r="B9" t="s">
        <v>49</v>
      </c>
      <c r="C9" t="s">
        <v>71</v>
      </c>
      <c r="D9">
        <v>73</v>
      </c>
      <c r="E9">
        <v>97</v>
      </c>
      <c r="F9">
        <v>38</v>
      </c>
      <c r="G9">
        <v>24</v>
      </c>
      <c r="H9">
        <v>53</v>
      </c>
      <c r="I9">
        <f t="shared" si="0"/>
        <v>285</v>
      </c>
      <c r="J9">
        <v>500</v>
      </c>
      <c r="K9" s="1">
        <v>0.56999999999999995</v>
      </c>
      <c r="L9" s="1">
        <f t="shared" si="1"/>
        <v>0.43000000000000005</v>
      </c>
    </row>
    <row r="10" spans="1:12" x14ac:dyDescent="0.3">
      <c r="A10" t="s">
        <v>9</v>
      </c>
      <c r="B10" t="s">
        <v>50</v>
      </c>
      <c r="C10" t="s">
        <v>64</v>
      </c>
      <c r="D10">
        <v>54</v>
      </c>
      <c r="E10">
        <v>26</v>
      </c>
      <c r="F10">
        <v>53</v>
      </c>
      <c r="G10">
        <v>36</v>
      </c>
      <c r="H10">
        <v>20</v>
      </c>
      <c r="I10">
        <f t="shared" si="0"/>
        <v>189</v>
      </c>
      <c r="J10">
        <v>500</v>
      </c>
      <c r="K10" s="1">
        <v>0.378</v>
      </c>
      <c r="L10" s="1">
        <f t="shared" si="1"/>
        <v>0.622</v>
      </c>
    </row>
    <row r="11" spans="1:12" x14ac:dyDescent="0.3">
      <c r="A11" t="s">
        <v>10</v>
      </c>
      <c r="B11" t="s">
        <v>51</v>
      </c>
      <c r="C11" t="s">
        <v>65</v>
      </c>
      <c r="D11">
        <v>52</v>
      </c>
      <c r="E11">
        <v>52</v>
      </c>
      <c r="F11">
        <v>19</v>
      </c>
      <c r="G11">
        <v>53</v>
      </c>
      <c r="H11">
        <v>37</v>
      </c>
      <c r="I11">
        <f t="shared" si="0"/>
        <v>213</v>
      </c>
      <c r="J11">
        <v>500</v>
      </c>
      <c r="K11" s="1">
        <v>0.42599999999999999</v>
      </c>
      <c r="L11" s="1">
        <f t="shared" si="1"/>
        <v>0.57400000000000007</v>
      </c>
    </row>
    <row r="12" spans="1:12" x14ac:dyDescent="0.3">
      <c r="A12" t="s">
        <v>11</v>
      </c>
      <c r="B12" t="s">
        <v>52</v>
      </c>
      <c r="C12" t="s">
        <v>66</v>
      </c>
      <c r="D12">
        <v>63</v>
      </c>
      <c r="E12">
        <v>17</v>
      </c>
      <c r="F12">
        <v>40</v>
      </c>
      <c r="G12">
        <v>48</v>
      </c>
      <c r="H12">
        <v>51</v>
      </c>
      <c r="I12">
        <f t="shared" si="0"/>
        <v>219</v>
      </c>
      <c r="J12">
        <v>500</v>
      </c>
      <c r="K12" s="1">
        <v>0.438</v>
      </c>
      <c r="L12" s="1">
        <f t="shared" si="1"/>
        <v>0.56200000000000006</v>
      </c>
    </row>
    <row r="13" spans="1:12" x14ac:dyDescent="0.3">
      <c r="A13" t="s">
        <v>12</v>
      </c>
      <c r="B13" t="s">
        <v>53</v>
      </c>
      <c r="C13" t="s">
        <v>67</v>
      </c>
      <c r="D13">
        <v>79</v>
      </c>
      <c r="E13">
        <v>99</v>
      </c>
      <c r="F13">
        <v>95</v>
      </c>
      <c r="G13">
        <v>12</v>
      </c>
      <c r="H13">
        <v>91</v>
      </c>
      <c r="I13">
        <f t="shared" si="0"/>
        <v>376</v>
      </c>
      <c r="J13">
        <v>500</v>
      </c>
      <c r="K13" s="1">
        <v>0.752</v>
      </c>
      <c r="L13" s="1">
        <f t="shared" si="1"/>
        <v>0.248</v>
      </c>
    </row>
    <row r="14" spans="1:12" x14ac:dyDescent="0.3">
      <c r="A14" t="s">
        <v>13</v>
      </c>
      <c r="B14" t="s">
        <v>54</v>
      </c>
      <c r="C14" t="s">
        <v>68</v>
      </c>
      <c r="D14">
        <v>95</v>
      </c>
      <c r="E14">
        <v>88</v>
      </c>
      <c r="F14">
        <v>11</v>
      </c>
      <c r="G14">
        <v>78</v>
      </c>
      <c r="H14">
        <v>60</v>
      </c>
      <c r="I14">
        <f t="shared" si="0"/>
        <v>332</v>
      </c>
      <c r="J14">
        <v>500</v>
      </c>
      <c r="K14" s="1">
        <v>0.66400000000000003</v>
      </c>
      <c r="L14" s="1">
        <f t="shared" si="1"/>
        <v>0.33599999999999997</v>
      </c>
    </row>
    <row r="15" spans="1:12" x14ac:dyDescent="0.3">
      <c r="A15" t="s">
        <v>14</v>
      </c>
      <c r="B15" t="s">
        <v>55</v>
      </c>
      <c r="C15" t="s">
        <v>69</v>
      </c>
      <c r="D15">
        <v>83</v>
      </c>
      <c r="E15">
        <v>77</v>
      </c>
      <c r="F15">
        <v>66</v>
      </c>
      <c r="G15">
        <v>22</v>
      </c>
      <c r="H15">
        <v>40</v>
      </c>
      <c r="I15">
        <f t="shared" si="0"/>
        <v>288</v>
      </c>
      <c r="J15">
        <v>500</v>
      </c>
      <c r="K15" s="1">
        <v>0.57599999999999996</v>
      </c>
      <c r="L15" s="1">
        <f t="shared" si="1"/>
        <v>0.42400000000000004</v>
      </c>
    </row>
    <row r="16" spans="1:12" x14ac:dyDescent="0.3">
      <c r="A16" t="s">
        <v>15</v>
      </c>
      <c r="B16" t="s">
        <v>56</v>
      </c>
      <c r="C16" t="s">
        <v>70</v>
      </c>
      <c r="D16">
        <v>78</v>
      </c>
      <c r="E16">
        <v>58</v>
      </c>
      <c r="F16">
        <v>34</v>
      </c>
      <c r="G16">
        <v>84</v>
      </c>
      <c r="H16">
        <v>31</v>
      </c>
      <c r="I16">
        <f t="shared" si="0"/>
        <v>285</v>
      </c>
      <c r="J16">
        <v>500</v>
      </c>
      <c r="K16" s="1">
        <v>0.56999999999999995</v>
      </c>
      <c r="L16" s="1">
        <f t="shared" si="1"/>
        <v>0.43000000000000005</v>
      </c>
    </row>
    <row r="17" spans="1:12" x14ac:dyDescent="0.3">
      <c r="A17" t="s">
        <v>16</v>
      </c>
      <c r="B17" t="s">
        <v>57</v>
      </c>
      <c r="C17" t="s">
        <v>71</v>
      </c>
      <c r="D17">
        <v>14</v>
      </c>
      <c r="E17">
        <v>25</v>
      </c>
      <c r="F17">
        <v>45</v>
      </c>
      <c r="G17">
        <v>70</v>
      </c>
      <c r="H17">
        <v>45</v>
      </c>
      <c r="I17">
        <f t="shared" si="0"/>
        <v>199</v>
      </c>
      <c r="J17">
        <v>500</v>
      </c>
      <c r="K17" s="1">
        <v>0.39800000000000002</v>
      </c>
      <c r="L17" s="1">
        <f t="shared" si="1"/>
        <v>0.60199999999999998</v>
      </c>
    </row>
    <row r="18" spans="1:12" x14ac:dyDescent="0.3">
      <c r="A18" t="s">
        <v>17</v>
      </c>
      <c r="B18" t="s">
        <v>58</v>
      </c>
      <c r="C18" t="s">
        <v>64</v>
      </c>
      <c r="D18">
        <v>37</v>
      </c>
      <c r="E18">
        <v>69</v>
      </c>
      <c r="F18">
        <v>96</v>
      </c>
      <c r="G18">
        <v>66</v>
      </c>
      <c r="H18">
        <v>38</v>
      </c>
      <c r="I18">
        <f t="shared" si="0"/>
        <v>306</v>
      </c>
      <c r="J18">
        <v>500</v>
      </c>
      <c r="K18" s="1">
        <v>0.61199999999999999</v>
      </c>
      <c r="L18" s="1">
        <f t="shared" si="1"/>
        <v>0.38800000000000001</v>
      </c>
    </row>
    <row r="19" spans="1:12" x14ac:dyDescent="0.3">
      <c r="A19" t="s">
        <v>18</v>
      </c>
      <c r="B19" t="s">
        <v>59</v>
      </c>
      <c r="C19" t="s">
        <v>65</v>
      </c>
      <c r="D19">
        <v>11</v>
      </c>
      <c r="E19">
        <v>46</v>
      </c>
      <c r="F19">
        <v>91</v>
      </c>
      <c r="G19">
        <v>98</v>
      </c>
      <c r="H19">
        <v>45</v>
      </c>
      <c r="I19">
        <f t="shared" si="0"/>
        <v>291</v>
      </c>
      <c r="J19">
        <v>500</v>
      </c>
      <c r="K19" s="1">
        <v>0.58199999999999996</v>
      </c>
      <c r="L19" s="1">
        <f t="shared" si="1"/>
        <v>0.41800000000000004</v>
      </c>
    </row>
    <row r="20" spans="1:12" x14ac:dyDescent="0.3">
      <c r="A20" t="s">
        <v>19</v>
      </c>
      <c r="B20" t="s">
        <v>60</v>
      </c>
      <c r="C20" t="s">
        <v>66</v>
      </c>
      <c r="D20">
        <v>19</v>
      </c>
      <c r="E20">
        <v>34</v>
      </c>
      <c r="F20">
        <v>64</v>
      </c>
      <c r="G20">
        <v>65</v>
      </c>
      <c r="H20">
        <v>70</v>
      </c>
      <c r="I20">
        <f t="shared" si="0"/>
        <v>252</v>
      </c>
      <c r="J20">
        <v>500</v>
      </c>
      <c r="K20" s="1">
        <v>0.504</v>
      </c>
      <c r="L20" s="1">
        <f t="shared" si="1"/>
        <v>0.496</v>
      </c>
    </row>
    <row r="21" spans="1:12" x14ac:dyDescent="0.3">
      <c r="A21" t="s">
        <v>20</v>
      </c>
      <c r="B21" t="s">
        <v>61</v>
      </c>
      <c r="C21" t="s">
        <v>67</v>
      </c>
      <c r="D21">
        <v>93</v>
      </c>
      <c r="E21">
        <v>84</v>
      </c>
      <c r="F21">
        <v>13</v>
      </c>
      <c r="G21">
        <v>45</v>
      </c>
      <c r="H21">
        <v>18</v>
      </c>
      <c r="I21">
        <f t="shared" si="0"/>
        <v>253</v>
      </c>
      <c r="J21">
        <v>500</v>
      </c>
      <c r="K21" s="1">
        <v>0.50600000000000001</v>
      </c>
      <c r="L21" s="1">
        <f t="shared" si="1"/>
        <v>0.49399999999999999</v>
      </c>
    </row>
    <row r="22" spans="1:12" x14ac:dyDescent="0.3">
      <c r="A22" t="s">
        <v>21</v>
      </c>
      <c r="B22" t="s">
        <v>62</v>
      </c>
      <c r="C22" t="s">
        <v>68</v>
      </c>
      <c r="D22">
        <v>68</v>
      </c>
      <c r="E22">
        <v>73</v>
      </c>
      <c r="F22">
        <v>97</v>
      </c>
      <c r="G22">
        <v>76</v>
      </c>
      <c r="H22">
        <v>53</v>
      </c>
      <c r="I22">
        <f t="shared" si="0"/>
        <v>367</v>
      </c>
      <c r="J22">
        <v>500</v>
      </c>
      <c r="K22" s="1">
        <v>0.73399999999999999</v>
      </c>
      <c r="L22" s="1">
        <f t="shared" si="1"/>
        <v>0.26600000000000001</v>
      </c>
    </row>
    <row r="23" spans="1:12" x14ac:dyDescent="0.3">
      <c r="A23" t="s">
        <v>22</v>
      </c>
      <c r="B23" t="s">
        <v>81</v>
      </c>
      <c r="C23" t="s">
        <v>69</v>
      </c>
      <c r="D23">
        <v>99</v>
      </c>
      <c r="E23">
        <v>17</v>
      </c>
      <c r="F23">
        <v>48</v>
      </c>
      <c r="G23">
        <v>53</v>
      </c>
      <c r="H23">
        <v>44</v>
      </c>
      <c r="I23">
        <f t="shared" si="0"/>
        <v>261</v>
      </c>
      <c r="J23">
        <v>500</v>
      </c>
      <c r="K23" s="2">
        <f>I23/J23</f>
        <v>0.52200000000000002</v>
      </c>
      <c r="L23" s="1">
        <f t="shared" si="1"/>
        <v>0.47799999999999998</v>
      </c>
    </row>
    <row r="24" spans="1:12" x14ac:dyDescent="0.3">
      <c r="A24" t="s">
        <v>23</v>
      </c>
      <c r="B24" t="s">
        <v>82</v>
      </c>
      <c r="C24" t="s">
        <v>70</v>
      </c>
      <c r="D24">
        <v>57</v>
      </c>
      <c r="E24">
        <v>28</v>
      </c>
      <c r="F24">
        <v>44</v>
      </c>
      <c r="G24">
        <v>93</v>
      </c>
      <c r="H24">
        <v>34</v>
      </c>
      <c r="I24">
        <f t="shared" si="0"/>
        <v>256</v>
      </c>
      <c r="J24">
        <v>500</v>
      </c>
      <c r="K24" s="2">
        <f t="shared" ref="K24:K41" si="2">I24/J24</f>
        <v>0.51200000000000001</v>
      </c>
      <c r="L24" s="1">
        <f t="shared" si="1"/>
        <v>0.48799999999999999</v>
      </c>
    </row>
    <row r="25" spans="1:12" x14ac:dyDescent="0.3">
      <c r="A25" t="s">
        <v>24</v>
      </c>
      <c r="B25" t="s">
        <v>83</v>
      </c>
      <c r="C25" t="s">
        <v>71</v>
      </c>
      <c r="D25">
        <v>40</v>
      </c>
      <c r="E25">
        <v>22</v>
      </c>
      <c r="F25">
        <v>11</v>
      </c>
      <c r="G25">
        <v>52</v>
      </c>
      <c r="H25">
        <v>11</v>
      </c>
      <c r="I25">
        <f t="shared" si="0"/>
        <v>136</v>
      </c>
      <c r="J25">
        <v>500</v>
      </c>
      <c r="K25" s="2">
        <f t="shared" si="2"/>
        <v>0.27200000000000002</v>
      </c>
      <c r="L25" s="1">
        <f t="shared" si="1"/>
        <v>0.72799999999999998</v>
      </c>
    </row>
    <row r="26" spans="1:12" x14ac:dyDescent="0.3">
      <c r="A26" t="s">
        <v>25</v>
      </c>
      <c r="B26" t="s">
        <v>84</v>
      </c>
      <c r="C26" t="s">
        <v>64</v>
      </c>
      <c r="D26">
        <v>47</v>
      </c>
      <c r="E26">
        <v>99</v>
      </c>
      <c r="F26">
        <v>75</v>
      </c>
      <c r="G26">
        <v>92</v>
      </c>
      <c r="H26">
        <v>75</v>
      </c>
      <c r="I26">
        <f t="shared" si="0"/>
        <v>388</v>
      </c>
      <c r="J26">
        <v>500</v>
      </c>
      <c r="K26" s="2">
        <f t="shared" si="2"/>
        <v>0.77600000000000002</v>
      </c>
      <c r="L26" s="1">
        <f t="shared" si="1"/>
        <v>0.22399999999999998</v>
      </c>
    </row>
    <row r="27" spans="1:12" x14ac:dyDescent="0.3">
      <c r="A27" t="s">
        <v>26</v>
      </c>
      <c r="B27" t="s">
        <v>85</v>
      </c>
      <c r="C27" t="s">
        <v>65</v>
      </c>
      <c r="D27">
        <v>16</v>
      </c>
      <c r="E27">
        <v>71</v>
      </c>
      <c r="F27">
        <v>76</v>
      </c>
      <c r="G27">
        <v>29</v>
      </c>
      <c r="H27">
        <v>76</v>
      </c>
      <c r="I27">
        <f t="shared" si="0"/>
        <v>268</v>
      </c>
      <c r="J27">
        <v>500</v>
      </c>
      <c r="K27" s="2">
        <f t="shared" si="2"/>
        <v>0.53600000000000003</v>
      </c>
      <c r="L27" s="1">
        <f t="shared" si="1"/>
        <v>0.46399999999999997</v>
      </c>
    </row>
    <row r="28" spans="1:12" x14ac:dyDescent="0.3">
      <c r="A28" t="s">
        <v>27</v>
      </c>
      <c r="B28" t="s">
        <v>86</v>
      </c>
      <c r="C28" t="s">
        <v>66</v>
      </c>
      <c r="D28">
        <v>72</v>
      </c>
      <c r="E28">
        <v>87</v>
      </c>
      <c r="F28">
        <v>72</v>
      </c>
      <c r="G28">
        <v>33</v>
      </c>
      <c r="H28">
        <v>72</v>
      </c>
      <c r="I28">
        <f t="shared" si="0"/>
        <v>336</v>
      </c>
      <c r="J28">
        <v>500</v>
      </c>
      <c r="K28" s="2">
        <f t="shared" si="2"/>
        <v>0.67200000000000004</v>
      </c>
      <c r="L28" s="1">
        <f t="shared" si="1"/>
        <v>0.32799999999999996</v>
      </c>
    </row>
    <row r="29" spans="1:12" x14ac:dyDescent="0.3">
      <c r="A29" t="s">
        <v>28</v>
      </c>
      <c r="B29" t="s">
        <v>87</v>
      </c>
      <c r="C29" t="s">
        <v>67</v>
      </c>
      <c r="D29">
        <v>30</v>
      </c>
      <c r="E29">
        <v>38</v>
      </c>
      <c r="F29">
        <v>89</v>
      </c>
      <c r="G29">
        <v>34</v>
      </c>
      <c r="H29">
        <v>89</v>
      </c>
      <c r="I29">
        <f t="shared" si="0"/>
        <v>280</v>
      </c>
      <c r="J29">
        <v>500</v>
      </c>
      <c r="K29" s="2">
        <f t="shared" si="2"/>
        <v>0.56000000000000005</v>
      </c>
      <c r="L29" s="1">
        <f t="shared" si="1"/>
        <v>0.43999999999999995</v>
      </c>
    </row>
    <row r="30" spans="1:12" x14ac:dyDescent="0.3">
      <c r="A30" t="s">
        <v>29</v>
      </c>
      <c r="B30" t="s">
        <v>88</v>
      </c>
      <c r="C30" t="s">
        <v>68</v>
      </c>
      <c r="D30">
        <v>65</v>
      </c>
      <c r="E30">
        <v>90</v>
      </c>
      <c r="F30">
        <v>85</v>
      </c>
      <c r="G30">
        <v>97</v>
      </c>
      <c r="H30">
        <v>85</v>
      </c>
      <c r="I30">
        <f t="shared" si="0"/>
        <v>422</v>
      </c>
      <c r="J30">
        <v>500</v>
      </c>
      <c r="K30" s="2">
        <f t="shared" si="2"/>
        <v>0.84399999999999997</v>
      </c>
      <c r="L30" s="1">
        <f t="shared" si="1"/>
        <v>0.15600000000000003</v>
      </c>
    </row>
    <row r="31" spans="1:12" x14ac:dyDescent="0.3">
      <c r="A31" t="s">
        <v>30</v>
      </c>
      <c r="B31" t="s">
        <v>89</v>
      </c>
      <c r="C31" t="s">
        <v>69</v>
      </c>
      <c r="D31">
        <v>83</v>
      </c>
      <c r="E31">
        <v>46</v>
      </c>
      <c r="F31">
        <v>36</v>
      </c>
      <c r="G31">
        <v>10</v>
      </c>
      <c r="H31">
        <v>36</v>
      </c>
      <c r="I31">
        <f t="shared" si="0"/>
        <v>211</v>
      </c>
      <c r="J31">
        <v>500</v>
      </c>
      <c r="K31" s="2">
        <f t="shared" si="2"/>
        <v>0.42199999999999999</v>
      </c>
      <c r="L31" s="1">
        <f t="shared" si="1"/>
        <v>0.57800000000000007</v>
      </c>
    </row>
    <row r="32" spans="1:12" x14ac:dyDescent="0.3">
      <c r="A32" t="s">
        <v>31</v>
      </c>
      <c r="B32" t="s">
        <v>90</v>
      </c>
      <c r="C32" t="s">
        <v>70</v>
      </c>
      <c r="D32">
        <v>10</v>
      </c>
      <c r="E32">
        <v>66</v>
      </c>
      <c r="F32">
        <v>22</v>
      </c>
      <c r="G32">
        <v>89</v>
      </c>
      <c r="H32">
        <v>22</v>
      </c>
      <c r="I32">
        <f t="shared" si="0"/>
        <v>209</v>
      </c>
      <c r="J32">
        <v>500</v>
      </c>
      <c r="K32" s="2">
        <f t="shared" si="2"/>
        <v>0.41799999999999998</v>
      </c>
      <c r="L32" s="1">
        <f t="shared" si="1"/>
        <v>0.58200000000000007</v>
      </c>
    </row>
    <row r="33" spans="1:12" x14ac:dyDescent="0.3">
      <c r="A33" t="s">
        <v>32</v>
      </c>
      <c r="B33" t="s">
        <v>91</v>
      </c>
      <c r="C33" t="s">
        <v>71</v>
      </c>
      <c r="D33">
        <v>37</v>
      </c>
      <c r="E33">
        <v>30</v>
      </c>
      <c r="F33">
        <v>77</v>
      </c>
      <c r="G33">
        <v>38</v>
      </c>
      <c r="H33">
        <v>77</v>
      </c>
      <c r="I33">
        <f t="shared" si="0"/>
        <v>259</v>
      </c>
      <c r="J33">
        <v>500</v>
      </c>
      <c r="K33" s="2">
        <f t="shared" si="2"/>
        <v>0.51800000000000002</v>
      </c>
      <c r="L33" s="1">
        <f t="shared" si="1"/>
        <v>0.48199999999999998</v>
      </c>
    </row>
    <row r="34" spans="1:12" x14ac:dyDescent="0.3">
      <c r="A34" t="s">
        <v>33</v>
      </c>
      <c r="B34" t="s">
        <v>92</v>
      </c>
      <c r="C34" t="s">
        <v>64</v>
      </c>
      <c r="D34">
        <v>83</v>
      </c>
      <c r="E34">
        <v>46</v>
      </c>
      <c r="F34">
        <v>94</v>
      </c>
      <c r="G34">
        <v>67</v>
      </c>
      <c r="H34">
        <v>94</v>
      </c>
      <c r="I34">
        <f t="shared" si="0"/>
        <v>384</v>
      </c>
      <c r="J34">
        <v>500</v>
      </c>
      <c r="K34" s="2">
        <f t="shared" si="2"/>
        <v>0.76800000000000002</v>
      </c>
      <c r="L34" s="1">
        <f t="shared" si="1"/>
        <v>0.23199999999999998</v>
      </c>
    </row>
    <row r="35" spans="1:12" x14ac:dyDescent="0.3">
      <c r="A35" t="s">
        <v>34</v>
      </c>
      <c r="B35" t="s">
        <v>93</v>
      </c>
      <c r="C35" t="s">
        <v>65</v>
      </c>
      <c r="D35">
        <v>84</v>
      </c>
      <c r="E35">
        <v>59</v>
      </c>
      <c r="F35">
        <v>17</v>
      </c>
      <c r="G35">
        <v>92</v>
      </c>
      <c r="H35">
        <v>17</v>
      </c>
      <c r="I35">
        <f t="shared" si="0"/>
        <v>269</v>
      </c>
      <c r="J35">
        <v>500</v>
      </c>
      <c r="K35" s="2">
        <f t="shared" si="2"/>
        <v>0.53800000000000003</v>
      </c>
      <c r="L35" s="1">
        <f t="shared" si="1"/>
        <v>0.46199999999999997</v>
      </c>
    </row>
    <row r="36" spans="1:12" x14ac:dyDescent="0.3">
      <c r="A36" t="s">
        <v>35</v>
      </c>
      <c r="B36" t="s">
        <v>94</v>
      </c>
      <c r="C36" t="s">
        <v>66</v>
      </c>
      <c r="D36">
        <v>82</v>
      </c>
      <c r="E36">
        <v>54</v>
      </c>
      <c r="F36">
        <v>61</v>
      </c>
      <c r="G36">
        <v>22</v>
      </c>
      <c r="H36">
        <v>61</v>
      </c>
      <c r="I36">
        <f t="shared" si="0"/>
        <v>280</v>
      </c>
      <c r="J36">
        <v>500</v>
      </c>
      <c r="K36" s="2">
        <f t="shared" si="2"/>
        <v>0.56000000000000005</v>
      </c>
      <c r="L36" s="1">
        <f t="shared" si="1"/>
        <v>0.43999999999999995</v>
      </c>
    </row>
    <row r="37" spans="1:12" x14ac:dyDescent="0.3">
      <c r="A37" t="s">
        <v>36</v>
      </c>
      <c r="B37" t="s">
        <v>95</v>
      </c>
      <c r="C37" t="s">
        <v>67</v>
      </c>
      <c r="D37">
        <v>47</v>
      </c>
      <c r="E37">
        <v>23</v>
      </c>
      <c r="F37">
        <v>64</v>
      </c>
      <c r="G37">
        <v>47</v>
      </c>
      <c r="H37">
        <v>64</v>
      </c>
      <c r="I37">
        <f t="shared" si="0"/>
        <v>245</v>
      </c>
      <c r="J37">
        <v>500</v>
      </c>
      <c r="K37" s="2">
        <f t="shared" si="2"/>
        <v>0.49</v>
      </c>
      <c r="L37" s="1">
        <f t="shared" si="1"/>
        <v>0.51</v>
      </c>
    </row>
    <row r="38" spans="1:12" x14ac:dyDescent="0.3">
      <c r="A38" t="s">
        <v>37</v>
      </c>
      <c r="B38" t="s">
        <v>96</v>
      </c>
      <c r="C38" t="s">
        <v>69</v>
      </c>
      <c r="D38">
        <v>61</v>
      </c>
      <c r="E38">
        <v>30</v>
      </c>
      <c r="F38">
        <v>32</v>
      </c>
      <c r="G38">
        <v>99</v>
      </c>
      <c r="H38">
        <v>90</v>
      </c>
      <c r="I38">
        <f t="shared" si="0"/>
        <v>312</v>
      </c>
      <c r="J38">
        <v>500</v>
      </c>
      <c r="K38" s="2">
        <f t="shared" si="2"/>
        <v>0.624</v>
      </c>
      <c r="L38" s="1">
        <f t="shared" si="1"/>
        <v>0.376</v>
      </c>
    </row>
    <row r="39" spans="1:12" x14ac:dyDescent="0.3">
      <c r="A39" t="s">
        <v>38</v>
      </c>
      <c r="B39" t="s">
        <v>97</v>
      </c>
      <c r="C39" t="s">
        <v>70</v>
      </c>
      <c r="D39">
        <v>55</v>
      </c>
      <c r="E39">
        <v>54</v>
      </c>
      <c r="F39">
        <v>56</v>
      </c>
      <c r="G39">
        <v>67</v>
      </c>
      <c r="H39">
        <v>91</v>
      </c>
      <c r="I39">
        <f t="shared" si="0"/>
        <v>323</v>
      </c>
      <c r="J39">
        <v>500</v>
      </c>
      <c r="K39" s="2">
        <f t="shared" si="2"/>
        <v>0.64600000000000002</v>
      </c>
      <c r="L39" s="1">
        <f t="shared" si="1"/>
        <v>0.35399999999999998</v>
      </c>
    </row>
    <row r="40" spans="1:12" x14ac:dyDescent="0.3">
      <c r="A40" t="s">
        <v>39</v>
      </c>
      <c r="B40" t="s">
        <v>98</v>
      </c>
      <c r="C40" t="s">
        <v>65</v>
      </c>
      <c r="D40">
        <v>67</v>
      </c>
      <c r="E40">
        <v>83</v>
      </c>
      <c r="F40">
        <v>25</v>
      </c>
      <c r="G40">
        <v>45</v>
      </c>
      <c r="H40">
        <v>45</v>
      </c>
      <c r="I40">
        <f t="shared" si="0"/>
        <v>265</v>
      </c>
      <c r="J40">
        <v>500</v>
      </c>
      <c r="K40" s="2">
        <f t="shared" si="2"/>
        <v>0.53</v>
      </c>
      <c r="L40" s="1">
        <f t="shared" si="1"/>
        <v>0.47</v>
      </c>
    </row>
    <row r="41" spans="1:12" x14ac:dyDescent="0.3">
      <c r="A41" t="s">
        <v>40</v>
      </c>
      <c r="B41" t="s">
        <v>99</v>
      </c>
      <c r="C41" t="s">
        <v>71</v>
      </c>
      <c r="D41">
        <v>88</v>
      </c>
      <c r="E41">
        <v>11</v>
      </c>
      <c r="F41">
        <v>78</v>
      </c>
      <c r="G41">
        <v>87</v>
      </c>
      <c r="H41">
        <v>77</v>
      </c>
      <c r="I41">
        <f t="shared" si="0"/>
        <v>341</v>
      </c>
      <c r="J41">
        <v>500</v>
      </c>
      <c r="K41" s="2">
        <f t="shared" si="2"/>
        <v>0.68200000000000005</v>
      </c>
      <c r="L41" s="1">
        <f t="shared" si="1"/>
        <v>0.31799999999999995</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Mehak Sharma</dc:creator>
  <cp:lastModifiedBy>Mehak Sharma</cp:lastModifiedBy>
  <dcterms:created xsi:type="dcterms:W3CDTF">2025-07-20T17:24:04Z</dcterms:created>
  <dcterms:modified xsi:type="dcterms:W3CDTF">2025-08-22T16:27:55Z</dcterms:modified>
</cp:coreProperties>
</file>